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All_10_Runs" sheetId="1" r:id="rId1"/>
    <sheet name="Summary" sheetId="2" r:id="rId2"/>
    <sheet name="Sourc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<sst xmlns="http://schemas.openxmlformats.org/spreadsheetml/2006/main" count="641" uniqueCount="340">
  <si>
    <t>Dataset</t>
  </si>
  <si>
    <t>PDB ID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</si>
  <si>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</si>
  <si>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</si>
  <si>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</si>
  <si>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</si>
  <si>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</si>
  <si>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</si>
  <si>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</si>
  <si>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</si>
  <si>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</si>
  <si>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</si>
  <si>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Mean (10 runs)</t>
  </si>
  <si>
    <t>Std (10 runs)</t>
  </si>
  <si>
    <t>size_200</t>
  </si>
  <si>
    <t>1A2X_model_0</t>
  </si>
  <si>
    <t>1A30_model_0</t>
  </si>
  <si>
    <t>1B6J_model_0</t>
  </si>
  <si>
    <t>1CF7_model_0</t>
  </si>
  <si>
    <t>1CMI_model_0</t>
  </si>
  <si>
    <t>1CPI_model_0</t>
  </si>
  <si>
    <t>1DJ7_model_0</t>
  </si>
  <si>
    <t>1DSZ_model_0</t>
  </si>
  <si>
    <t>1EJ4_model_0</t>
  </si>
  <si>
    <t>1F7A_model_0</t>
  </si>
  <si>
    <t>1F95_model_0</t>
  </si>
  <si>
    <t>1FAP_model_0</t>
  </si>
  <si>
    <t>1FIP_model_0</t>
  </si>
  <si>
    <t>1FU2_model_0</t>
  </si>
  <si>
    <t>1G5J_model_0</t>
  </si>
  <si>
    <t>1G7A_model_0</t>
  </si>
  <si>
    <t>1G7B_model_0</t>
  </si>
  <si>
    <t>1GBB_model_0</t>
  </si>
  <si>
    <t>1GBC_model_0</t>
  </si>
  <si>
    <t>1GBD_model_0</t>
  </si>
  <si>
    <t>1GBF_model_0</t>
  </si>
  <si>
    <t>1GBH_model_0</t>
  </si>
  <si>
    <t>1GBI_model_0</t>
  </si>
  <si>
    <t>1GBK_model_0</t>
  </si>
  <si>
    <t>1GBL_model_0</t>
  </si>
  <si>
    <t>1GBM_model_0</t>
  </si>
  <si>
    <t>1GCQ_model_0</t>
  </si>
  <si>
    <t>1HPG_model_0</t>
  </si>
  <si>
    <t>1HTE_model_0</t>
  </si>
  <si>
    <t>1J4X_model_0</t>
  </si>
  <si>
    <t>1JYQ_model_0</t>
  </si>
  <si>
    <t>1KJ7_model_0</t>
  </si>
  <si>
    <t>1KJF_model_0</t>
  </si>
  <si>
    <t>1KJG_model_0</t>
  </si>
  <si>
    <t>1KJH_model_0</t>
  </si>
  <si>
    <t>1KLQ_model_0</t>
  </si>
  <si>
    <t>1KUG_model_0</t>
  </si>
  <si>
    <t>1KUI_model_0</t>
  </si>
  <si>
    <t>1KUK_model_0</t>
  </si>
  <si>
    <t>1KZZ_model_0</t>
  </si>
  <si>
    <t>1MQ1_model_0</t>
  </si>
  <si>
    <t>1MT7_model_0</t>
  </si>
  <si>
    <t>1MT8_model_0</t>
  </si>
  <si>
    <t>1MT9_model_0</t>
  </si>
  <si>
    <t>1MWN_model_0</t>
  </si>
  <si>
    <t>1MZW_model_0</t>
  </si>
  <si>
    <t>1NH0_model_0</t>
  </si>
  <si>
    <t>1NPO_model_0</t>
  </si>
  <si>
    <t>1NSG_model_0</t>
  </si>
  <si>
    <t>1NWD_model_0</t>
  </si>
  <si>
    <t>1P02_model_0</t>
  </si>
  <si>
    <t>1P03_model_0</t>
  </si>
  <si>
    <t>1P04_model_0</t>
  </si>
  <si>
    <t>1P05_model_0</t>
  </si>
  <si>
    <t>1P06_model_0</t>
  </si>
  <si>
    <t>1P10_model_0</t>
  </si>
  <si>
    <t>1P12_model_0</t>
  </si>
  <si>
    <t>1QAV_model_0</t>
  </si>
  <si>
    <t>1QJJ_model_0</t>
  </si>
  <si>
    <t>1S2K_model_0</t>
  </si>
  <si>
    <t>1SHC_model_0</t>
  </si>
  <si>
    <t>1SP5_model_0</t>
  </si>
  <si>
    <t>1SVF_model_0</t>
  </si>
  <si>
    <t>1TFO_model_0</t>
  </si>
  <si>
    <t>1TSQ_model_0</t>
  </si>
  <si>
    <t>1TSU_model_0</t>
  </si>
  <si>
    <t>1TTW_model_0</t>
  </si>
  <si>
    <t>1U0S_model_0</t>
  </si>
  <si>
    <t>1U8G_model_0</t>
  </si>
  <si>
    <t>1UR6_model_0</t>
  </si>
  <si>
    <t>1V74_model_0</t>
  </si>
  <si>
    <t>1WA8_model_0</t>
  </si>
  <si>
    <t>1WQ9_model_0</t>
  </si>
  <si>
    <t>1XDA_model_0</t>
  </si>
  <si>
    <t>1YP1_model_0</t>
  </si>
  <si>
    <t>1YTG_model_0</t>
  </si>
  <si>
    <t>1YTH_model_0</t>
  </si>
  <si>
    <t>1Z3E_model_0</t>
  </si>
  <si>
    <t>1ZMS_model_0</t>
  </si>
  <si>
    <t>1ZTZ_model_0</t>
  </si>
  <si>
    <t>1ZY3_model_0</t>
  </si>
  <si>
    <t>25HL_model_0</t>
  </si>
  <si>
    <t>2A25_model_0</t>
  </si>
  <si>
    <t>2AOF_model_0</t>
  </si>
  <si>
    <t>2AOH_model_0</t>
  </si>
  <si>
    <t>2AOI_model_0</t>
  </si>
  <si>
    <t>2BBA_model_0</t>
  </si>
  <si>
    <t>2BCW_model_0</t>
  </si>
  <si>
    <t>2C3V_model_0</t>
  </si>
  <si>
    <t>2FAP_model_0</t>
  </si>
  <si>
    <t>2FNS_model_0</t>
  </si>
  <si>
    <t>2FNT_model_0</t>
  </si>
  <si>
    <t>2H0D_model_0</t>
  </si>
  <si>
    <t>2H5D_model_0</t>
  </si>
  <si>
    <t>2HL3_model_0</t>
  </si>
  <si>
    <t>2HPE_model_0</t>
  </si>
  <si>
    <t>2HPF_model_0</t>
  </si>
  <si>
    <t>2J9J_model_0</t>
  </si>
  <si>
    <t>2JE4_model_0</t>
  </si>
  <si>
    <t>2K1Q_model_0</t>
  </si>
  <si>
    <t>size_400</t>
  </si>
  <si>
    <t>1A7C_model_0</t>
  </si>
  <si>
    <t>1AVW_model_0</t>
  </si>
  <si>
    <t>1AVX_model_0</t>
  </si>
  <si>
    <t>1BP3_model_0</t>
  </si>
  <si>
    <t>1CE6_model_0</t>
  </si>
  <si>
    <t>1DP5_model_0</t>
  </si>
  <si>
    <t>1DXP_model_0</t>
  </si>
  <si>
    <t>1DY8_model_0</t>
  </si>
  <si>
    <t>1DY9_model_0</t>
  </si>
  <si>
    <t>1E96_model_0</t>
  </si>
  <si>
    <t>1EAY_model_0</t>
  </si>
  <si>
    <t>1FL7_model_0</t>
  </si>
  <si>
    <t>1GRN_model_0</t>
  </si>
  <si>
    <t>1GZP_model_0</t>
  </si>
  <si>
    <t>1GZQ_model_0</t>
  </si>
  <si>
    <t>1H2M_model_0</t>
  </si>
  <si>
    <t>1H32_model_0</t>
  </si>
  <si>
    <t>1H33_model_0</t>
  </si>
  <si>
    <t>1HDM_model_0</t>
  </si>
  <si>
    <t>1IAK_model_0</t>
  </si>
  <si>
    <t>1JN5_model_0</t>
  </si>
  <si>
    <t>1JPF_model_0</t>
  </si>
  <si>
    <t>1JRR_model_0</t>
  </si>
  <si>
    <t>1JXP_model_0</t>
  </si>
  <si>
    <t>1K2D_model_0</t>
  </si>
  <si>
    <t>1KJM_model_0</t>
  </si>
  <si>
    <t>1KJV_model_0</t>
  </si>
  <si>
    <t>1LGB_model_0</t>
  </si>
  <si>
    <t>1LGH_model_0</t>
  </si>
  <si>
    <t>1LM8_model_0</t>
  </si>
  <si>
    <t>1NS3_model_0</t>
  </si>
  <si>
    <t>1OF5_model_0</t>
  </si>
  <si>
    <t>1PK6_model_0</t>
  </si>
  <si>
    <t>1QA9_model_0</t>
  </si>
  <si>
    <t>1RV6_model_0</t>
  </si>
  <si>
    <t>1SG1_model_0</t>
  </si>
  <si>
    <t>1SQK_model_0</t>
  </si>
  <si>
    <t>1T2K_model_0</t>
  </si>
  <si>
    <t>1TZS_model_0</t>
  </si>
  <si>
    <t>1UQS_model_0</t>
  </si>
  <si>
    <t>1W3C_model_0</t>
  </si>
  <si>
    <t>1WBP_model_0</t>
  </si>
  <si>
    <t>1WHS_model_0</t>
  </si>
  <si>
    <t>1WHT_model_0</t>
  </si>
  <si>
    <t>1X3W_model_0</t>
  </si>
  <si>
    <t>1YV0_model_0</t>
  </si>
  <si>
    <t>1ZMY_model_0</t>
  </si>
  <si>
    <t>1ZY1_model_0</t>
  </si>
  <si>
    <t>2ACH_model_0</t>
  </si>
  <si>
    <t>2ARQ_model_0</t>
  </si>
  <si>
    <t>2ARR_model_0</t>
  </si>
  <si>
    <t>2AUC_model_0</t>
  </si>
  <si>
    <t>2B0Z_model_0</t>
  </si>
  <si>
    <t>2B12_model_0</t>
  </si>
  <si>
    <t>2C5W_model_0</t>
  </si>
  <si>
    <t>2C6W_model_0</t>
  </si>
  <si>
    <t>2CJS_model_0</t>
  </si>
  <si>
    <t>2DVQ_model_0</t>
  </si>
  <si>
    <t>2DVR_model_0</t>
  </si>
  <si>
    <t>2FH5_model_0</t>
  </si>
  <si>
    <t>2FWO_model_0</t>
  </si>
  <si>
    <t>2GB8_model_0</t>
  </si>
  <si>
    <t>2GCO_model_0</t>
  </si>
  <si>
    <t>2IAD_model_0</t>
  </si>
  <si>
    <t>2IZV_model_0</t>
  </si>
  <si>
    <t>2J2Z_model_0</t>
  </si>
  <si>
    <t>2JTI_model_0</t>
  </si>
  <si>
    <t>2KH2_model_0</t>
  </si>
  <si>
    <t>2LRK_model_0</t>
  </si>
  <si>
    <t>2LRL_model_0</t>
  </si>
  <si>
    <t>2NNA_model_0</t>
  </si>
  <si>
    <t>2NXN_model_0</t>
  </si>
  <si>
    <t>2P59_model_0</t>
  </si>
  <si>
    <t>2PSM_model_0</t>
  </si>
  <si>
    <t>2PVO_model_0</t>
  </si>
  <si>
    <t>2QIY_model_0</t>
  </si>
  <si>
    <t>2QV1_model_0</t>
  </si>
  <si>
    <t>2QXV_model_0</t>
  </si>
  <si>
    <t>2V52_model_0</t>
  </si>
  <si>
    <t>2WWX_model_0</t>
  </si>
  <si>
    <t>2X9A_model_0</t>
  </si>
  <si>
    <t>2XAC_model_0</t>
  </si>
  <si>
    <t>2XG4_model_0</t>
  </si>
  <si>
    <t>2XG5_model_0</t>
  </si>
  <si>
    <t>2XS0_model_0</t>
  </si>
  <si>
    <t>2XV6_model_0</t>
  </si>
  <si>
    <t>2YCH_model_0</t>
  </si>
  <si>
    <t>2YPA_model_0</t>
  </si>
  <si>
    <t>2ZA4_model_0</t>
  </si>
  <si>
    <t>3A1Q_model_0</t>
  </si>
  <si>
    <t>3A3N_model_0</t>
  </si>
  <si>
    <t>3A3O_model_0</t>
  </si>
  <si>
    <t>3A3P_model_0</t>
  </si>
  <si>
    <t>3A4U_model_0</t>
  </si>
  <si>
    <t>3AU1_model_0</t>
  </si>
  <si>
    <t>3C3O_model_0</t>
  </si>
  <si>
    <t>3C3Q_model_0</t>
  </si>
  <si>
    <t>3C3R_model_0</t>
  </si>
  <si>
    <t>3CJR_model_0</t>
  </si>
  <si>
    <t>3CK4_model_0</t>
  </si>
  <si>
    <t>size_600</t>
  </si>
  <si>
    <t>1A9N_model_0</t>
  </si>
  <si>
    <t>1APY_model_0</t>
  </si>
  <si>
    <t>1APZ_model_0</t>
  </si>
  <si>
    <t>1B27_model_0</t>
  </si>
  <si>
    <t>1B2S_model_0</t>
  </si>
  <si>
    <t>1B2U_model_0</t>
  </si>
  <si>
    <t>1B3S_model_0</t>
  </si>
  <si>
    <t>1B41_model_0</t>
  </si>
  <si>
    <t>1BGS_model_0</t>
  </si>
  <si>
    <t>1BRS_model_0</t>
  </si>
  <si>
    <t>1CBW_model_0</t>
  </si>
  <si>
    <t>1DAN_model_0</t>
  </si>
  <si>
    <t>1EAI_model_0</t>
  </si>
  <si>
    <t>1EAW_model_0</t>
  </si>
  <si>
    <t>1EJ7_model_0</t>
  </si>
  <si>
    <t>1F2U_model_0</t>
  </si>
  <si>
    <t>1F80_model_0</t>
  </si>
  <si>
    <t>1FSS_model_0</t>
  </si>
  <si>
    <t>1HLT_model_0</t>
  </si>
  <si>
    <t>1HQR_model_0</t>
  </si>
  <si>
    <t>1HXY_model_0</t>
  </si>
  <si>
    <t>1K9O_model_0</t>
  </si>
  <si>
    <t>1KU8_model_0</t>
  </si>
  <si>
    <t>1KUJ_model_0</t>
  </si>
  <si>
    <t>1M26_model_0</t>
  </si>
  <si>
    <t>1MAH_model_0</t>
  </si>
  <si>
    <t>1MTN_model_0</t>
  </si>
  <si>
    <t>1NOC_model_0</t>
  </si>
  <si>
    <t>1OKK_model_0</t>
  </si>
  <si>
    <t>1P22_model_0</t>
  </si>
  <si>
    <t>1P2M_model_0</t>
  </si>
  <si>
    <t>1P2N_model_0</t>
  </si>
  <si>
    <t>1P2O_model_0</t>
  </si>
  <si>
    <t>1P2Q_model_0</t>
  </si>
  <si>
    <t>1QSC_model_0</t>
  </si>
  <si>
    <t>1QZ7_model_0</t>
  </si>
  <si>
    <t>1RJ9_model_0</t>
  </si>
  <si>
    <t>1RLC_model_0</t>
  </si>
  <si>
    <t>1T7C_model_0</t>
  </si>
  <si>
    <t>1T8L_model_0</t>
  </si>
  <si>
    <t>1T8M_model_0</t>
  </si>
  <si>
    <t>1T8N_model_0</t>
  </si>
  <si>
    <t>1T8O_model_0</t>
  </si>
  <si>
    <t>1VKX_model_0</t>
  </si>
  <si>
    <t>1W0Y_model_0</t>
  </si>
  <si>
    <t>1W2K_model_0</t>
  </si>
  <si>
    <t>1X1U_model_0</t>
  </si>
  <si>
    <t>1X1W_model_0</t>
  </si>
  <si>
    <t>1X1X_model_0</t>
  </si>
  <si>
    <t>1X1Y_model_0</t>
  </si>
  <si>
    <t>1Y4H_model_0</t>
  </si>
  <si>
    <t>1YFN_model_0</t>
  </si>
  <si>
    <t>1Z6J_model_0</t>
  </si>
  <si>
    <t>2AER_model_0</t>
  </si>
  <si>
    <t>2B8O_model_0</t>
  </si>
  <si>
    <t>2EC9_model_0</t>
  </si>
  <si>
    <t>2FHS_model_0</t>
  </si>
  <si>
    <t>2FIR_model_0</t>
  </si>
  <si>
    <t>2FU5_model_0</t>
  </si>
  <si>
    <t>2G2I_model_0</t>
  </si>
  <si>
    <t>2G38_model_0</t>
  </si>
  <si>
    <t>2G77_model_0</t>
  </si>
  <si>
    <t>2G9H_model_0</t>
  </si>
  <si>
    <t>2HEY_model_0</t>
  </si>
  <si>
    <t>2HWL_model_0</t>
  </si>
  <si>
    <t>2JJZ_model_0</t>
  </si>
  <si>
    <t>2MLY_model_0</t>
  </si>
  <si>
    <t>2O6V_model_0</t>
  </si>
  <si>
    <t>2OVP_model_0</t>
  </si>
  <si>
    <t>2OVQ_model_0</t>
  </si>
  <si>
    <t>2OVR_model_0</t>
  </si>
  <si>
    <t>2POY_model_0</t>
  </si>
  <si>
    <t>2QFC_model_0</t>
  </si>
  <si>
    <t>2QK7_model_0</t>
  </si>
  <si>
    <t>2QQN_model_0</t>
  </si>
  <si>
    <t>2R8S_model_0</t>
  </si>
  <si>
    <t>2RFI_model_0</t>
  </si>
  <si>
    <t>2V1S_model_0</t>
  </si>
  <si>
    <t>2VVC_model_0</t>
  </si>
  <si>
    <t>2VWM_model_0</t>
  </si>
  <si>
    <t>2WFX_model_0</t>
  </si>
  <si>
    <t>2WLI_model_0</t>
  </si>
  <si>
    <t>2XG8_model_0</t>
  </si>
  <si>
    <t>2YDQ_model_0</t>
  </si>
  <si>
    <t>2YDR_model_0</t>
  </si>
  <si>
    <t>2YDS_model_0</t>
  </si>
  <si>
    <t>2Z31_model_0</t>
  </si>
  <si>
    <t>2ZAL_model_0</t>
  </si>
  <si>
    <t>2ZVV_model_0</t>
  </si>
  <si>
    <t>2ZYZ_model_0</t>
  </si>
  <si>
    <t>3AAD_model_0</t>
  </si>
  <si>
    <t>3BLH_model_0</t>
  </si>
  <si>
    <t>3BLQ_model_0</t>
  </si>
  <si>
    <t>3BLR_model_0</t>
  </si>
  <si>
    <t>3BYH_model_0</t>
  </si>
  <si>
    <t>3DKN_model_0</t>
  </si>
  <si>
    <t>3DRF_model_0</t>
  </si>
  <si>
    <t>3DRG_model_0</t>
  </si>
  <si>
    <t>3DRH_model_0</t>
  </si>
  <si>
    <t>3DRI_model_0</t>
  </si>
  <si>
    <t>Count</t>
  </si>
  <si>
    <t>Run 1 Avg</t>
  </si>
  <si>
    <t>Run 2 Avg</t>
  </si>
  <si>
    <t>Run 3 Avg</t>
  </si>
  <si>
    <t>Run 4 Avg</t>
  </si>
  <si>
    <t>Run 5 Avg</t>
  </si>
  <si>
    <t>Run 6 Avg</t>
  </si>
  <si>
    <t>Run 7 Avg</t>
  </si>
  <si>
    <t>Run 8 Avg</t>
  </si>
  <si>
    <t>Run 9 Avg</t>
  </si>
  <si>
    <t>Run 10 Avg</t>
  </si>
  <si>
    <t>Mean of 10-run Means</t>
  </si>
  <si>
    <t>Avg Std</t>
  </si>
  <si>
    <t>Overall</t>
  </si>
  <si>
    <t>Run(s)</t>
  </si>
  <si>
    <t>Source file</t>
  </si>
  <si>
    <t>Notes</t>
  </si>
  <si>
    <t>Run 1-10</t>
  </si>
  <si>
    <t>boltz2_detailed_iptm_summary.pdf</t>
  </si>
  <si>
    <t>Detailed ipTM tables for size_200, size_400, and size_600 extracted from 9 PDF pages.</t>
  </si>
  <si>
    <t>Format template</t>
  </si>
  <si>
    <t>Boltz2-score_10_runs_summary_table.xlsx</t>
  </si>
  <si>
    <t>Used as the Excel layout template requested by the user.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</si>
</sst>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</numFmts>
  <fonts count="21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1" fillId="2" borderId="0" xfId="49" applyNumberFormat="1" applyFont="1" applyFill="1" applyBorder="1" applyAlignment="1">
      <alignment horizontal="center"/>
    </xf>
    <xf numFmtId="0" fontId="1" fillId="2" borderId="0" xfId="49" applyNumberFormat="1" applyFont="1" applyFill="1" applyBorder="1" applyAlignment="1">
      <alignment horizontal="center" vertical="center"/>
    </xf>
    <xf numFmtId="176" fontId="0" fillId="0" borderId="0" xfId="0" applyNumberFormat="1" applyFont="1" applyFill="1" applyBorder="1" applyAlignment="1"/>
    <xf numFmtId="0" fontId="0" fillId="0" borderId="0" xfId="49" applyAlignment="1">
      <alignment horizontal="center"/>
    </xf>
    <xf numFmtId="0" fontId="0" fillId="0" borderId="0" xfId="49" applyNumberFormat="1" applyFont="1" applyFill="1" applyBorder="1" applyAlignment="1">
      <alignment horizontal="center"/>
    </xf>
    <xf numFmtId="176" fontId="0" fillId="0" borderId="0" xfId="0" applyNumberFormat="1" applyFont="1" applyFill="1" applyBorder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AllRunsTable" displayName="AllRunsTable" ref="A1:N301">
  <tableColumns count="14">
    <tableColumn id="1" name="Dataset"/>
    <tableColumn id="2" name="PDB ID"/>
    <tableColumn id="3" name="Run 1"/>
    <tableColumn id="4" name="Run 2"/>
    <tableColumn id="5" name="Run 3"/>
    <tableColumn id="6" name="Run 4"/>
    <tableColumn id="7" name="Run 5"/>
    <tableColumn id="8" name="Run 6"/>
    <tableColumn id="9" name="Run 7"/>
    <tableColumn id="10" name="Run 8"/>
    <tableColumn id="11" name="Run 9"/>
    <tableColumn id="12" name="Run 10"/>
    <tableColumn id="13" name="Mean (10 runs)"/>
    <tableColumn id="14" name="Std (10 runs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ummaryTable" displayName="SummaryTable" ref="A1:N5">
  <tableColumns count="14">
    <tableColumn id="1" name="Dataset"/>
    <tableColumn id="2" name="Count"/>
    <tableColumn id="3" name="Run 1 Avg"/>
    <tableColumn id="4" name="Run 2 Avg"/>
    <tableColumn id="5" name="Run 3 Avg"/>
    <tableColumn id="6" name="Run 4 Avg"/>
    <tableColumn id="7" name="Run 5 Avg"/>
    <tableColumn id="8" name="Run 6 Avg"/>
    <tableColumn id="9" name="Run 7 Avg"/>
    <tableColumn id="10" name="Run 8 Avg"/>
    <tableColumn id="11" name="Run 9 Avg"/>
    <tableColumn id="12" name="Run 10 Avg"/>
    <tableColumn id="13" name="Mean of 10-run Means"/>
    <tableColumn id="14" name="Avg St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sTable" displayName="SourcesTable" ref="A1:C4">
  <tableColumns count="3">
    <tableColumn id="1" name="Run(s)"/>
    <tableColumn id="2" name="Source file"/>
    <tableColumn id="3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1"/>
  <sheetViews>
    <sheetView tabSelected="1" workbookViewId="0">
      <selection activeCell="A1" sqref="A1"/>
    </sheetView>
  </sheetViews>
  <sheetFormatPr defaultColWidth="9" defaultRowHeight="14"/>
  <cols>
    <col min="1" max="1" width="8.88333333333333" style="4" customWidth="1"/>
    <col min="2" max="2" width="8.20833333333333" style="4" customWidth="1"/>
    <col min="3" max="3" width="7.26666666666667" style="4" customWidth="1"/>
    <col min="4" max="11" width="7.26666666666667" customWidth="1"/>
    <col min="12" max="12" width="8.34166666666667" customWidth="1"/>
    <col min="13" max="13" width="15.0666666666667" style="4" customWidth="1"/>
    <col min="14" max="14" width="13.0583333333333" style="4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5" t="s">
        <v>14</v>
      </c>
      <c r="B2" s="5" t="s">
        <v>15</v>
      </c>
      <c r="C2" s="6">
        <v>0.5245</v>
      </c>
      <c r="D2" s="6">
        <v>0.5219</v>
      </c>
      <c r="E2" s="6">
        <v>0.5292</v>
      </c>
      <c r="F2" s="6">
        <v>0.539</v>
      </c>
      <c r="G2" s="6">
        <v>0.5154</v>
      </c>
      <c r="H2" s="6">
        <v>0.4604</v>
      </c>
      <c r="I2" s="6">
        <v>0.512</v>
      </c>
      <c r="J2" s="6">
        <v>0.4835</v>
      </c>
      <c r="K2" s="6">
        <v>0.4989</v>
      </c>
      <c r="L2" s="6">
        <v>0.5161</v>
      </c>
      <c r="M2" s="6">
        <f t="shared" ref="M2:M65" si="0">AVERAGE(C2:L2)</f>
        <v>0.51009</v>
      </c>
      <c r="N2" s="6">
        <f t="shared" ref="N2:N65" si="1">_xlfn.STDEV.S(C2:L2)</f>
        <v>0.0233747465821082</v>
      </c>
    </row>
    <row r="3" spans="1:14">
      <c r="A3" s="5" t="s">
        <v>14</v>
      </c>
      <c r="B3" s="5" t="s">
        <v>16</v>
      </c>
      <c r="C3" s="6">
        <v>0.407</v>
      </c>
      <c r="D3" s="6">
        <v>0.4502</v>
      </c>
      <c r="E3" s="6">
        <v>0.4445</v>
      </c>
      <c r="F3" s="6">
        <v>0.4508</v>
      </c>
      <c r="G3" s="6">
        <v>0.4707</v>
      </c>
      <c r="H3" s="6">
        <v>0.4284</v>
      </c>
      <c r="I3" s="6">
        <v>0.5081</v>
      </c>
      <c r="J3" s="6">
        <v>0.5131</v>
      </c>
      <c r="K3" s="6">
        <v>0.4448</v>
      </c>
      <c r="L3" s="6">
        <v>0.437</v>
      </c>
      <c r="M3" s="6">
        <f t="shared" si="0"/>
        <v>0.45546</v>
      </c>
      <c r="N3" s="6">
        <f t="shared" si="1"/>
        <v>0.0333835022462027</v>
      </c>
    </row>
    <row r="4" spans="1:14">
      <c r="A4" s="5" t="s">
        <v>14</v>
      </c>
      <c r="B4" s="5" t="s">
        <v>17</v>
      </c>
      <c r="C4" s="6">
        <v>0.512</v>
      </c>
      <c r="D4" s="6">
        <v>0.4639</v>
      </c>
      <c r="E4" s="6">
        <v>0.411</v>
      </c>
      <c r="F4" s="6">
        <v>0.4853</v>
      </c>
      <c r="G4" s="6">
        <v>0.4603</v>
      </c>
      <c r="H4" s="6">
        <v>0.4677</v>
      </c>
      <c r="I4" s="6">
        <v>0.4904</v>
      </c>
      <c r="J4" s="6">
        <v>0.517</v>
      </c>
      <c r="K4" s="6">
        <v>0.5241</v>
      </c>
      <c r="L4" s="6">
        <v>0.4503</v>
      </c>
      <c r="M4" s="6">
        <f t="shared" si="0"/>
        <v>0.4782</v>
      </c>
      <c r="N4" s="6">
        <f t="shared" si="1"/>
        <v>0.0347744158829448</v>
      </c>
    </row>
    <row r="5" spans="1:14">
      <c r="A5" s="5" t="s">
        <v>14</v>
      </c>
      <c r="B5" s="5" t="s">
        <v>18</v>
      </c>
      <c r="C5" s="6">
        <v>0.5614</v>
      </c>
      <c r="D5" s="6">
        <v>0.6301</v>
      </c>
      <c r="E5" s="6">
        <v>0.6414</v>
      </c>
      <c r="F5" s="6">
        <v>0.631</v>
      </c>
      <c r="G5" s="6">
        <v>0.6038</v>
      </c>
      <c r="H5" s="6">
        <v>0.6114</v>
      </c>
      <c r="I5" s="6">
        <v>0.6088</v>
      </c>
      <c r="J5" s="6">
        <v>0.5734</v>
      </c>
      <c r="K5" s="6">
        <v>0.6108</v>
      </c>
      <c r="L5" s="6">
        <v>0.639</v>
      </c>
      <c r="M5" s="6">
        <f t="shared" si="0"/>
        <v>0.61111</v>
      </c>
      <c r="N5" s="6">
        <f t="shared" si="1"/>
        <v>0.026674267666715</v>
      </c>
    </row>
    <row r="6" spans="1:14">
      <c r="A6" s="5" t="s">
        <v>14</v>
      </c>
      <c r="B6" s="5" t="s">
        <v>19</v>
      </c>
      <c r="C6" s="6">
        <v>0.4197</v>
      </c>
      <c r="D6" s="6">
        <v>0.3609</v>
      </c>
      <c r="E6" s="6">
        <v>0.3687</v>
      </c>
      <c r="F6" s="6">
        <v>0.4217</v>
      </c>
      <c r="G6" s="6">
        <v>0.4376</v>
      </c>
      <c r="H6" s="6">
        <v>0.3983</v>
      </c>
      <c r="I6" s="6">
        <v>0.4024</v>
      </c>
      <c r="J6" s="6">
        <v>0.4446</v>
      </c>
      <c r="K6" s="6">
        <v>0.4478</v>
      </c>
      <c r="L6" s="6">
        <v>0.4163</v>
      </c>
      <c r="M6" s="6">
        <f t="shared" si="0"/>
        <v>0.4118</v>
      </c>
      <c r="N6" s="6">
        <f t="shared" si="1"/>
        <v>0.0296969508348734</v>
      </c>
    </row>
    <row r="7" spans="1:14">
      <c r="A7" s="5" t="s">
        <v>14</v>
      </c>
      <c r="B7" s="5" t="s">
        <v>20</v>
      </c>
      <c r="C7" s="6">
        <v>0.4461</v>
      </c>
      <c r="D7" s="6">
        <v>0.4569</v>
      </c>
      <c r="E7" s="6">
        <v>0.4756</v>
      </c>
      <c r="F7" s="6">
        <v>0.4601</v>
      </c>
      <c r="G7" s="6">
        <v>0.4793</v>
      </c>
      <c r="H7" s="6">
        <v>0.5196</v>
      </c>
      <c r="I7" s="6">
        <v>0.4956</v>
      </c>
      <c r="J7" s="6">
        <v>0.49</v>
      </c>
      <c r="K7" s="6">
        <v>0.4891</v>
      </c>
      <c r="L7" s="6">
        <v>0.5161</v>
      </c>
      <c r="M7" s="6">
        <f t="shared" si="0"/>
        <v>0.48284</v>
      </c>
      <c r="N7" s="6">
        <f t="shared" si="1"/>
        <v>0.0243026381741206</v>
      </c>
    </row>
    <row r="8" spans="1:14">
      <c r="A8" s="5" t="s">
        <v>14</v>
      </c>
      <c r="B8" s="5" t="s">
        <v>21</v>
      </c>
      <c r="C8" s="6">
        <v>0.5294</v>
      </c>
      <c r="D8" s="6">
        <v>0.504</v>
      </c>
      <c r="E8" s="6">
        <v>0.51</v>
      </c>
      <c r="F8" s="6">
        <v>0.5707</v>
      </c>
      <c r="G8" s="6">
        <v>0.5129</v>
      </c>
      <c r="H8" s="6">
        <v>0.51</v>
      </c>
      <c r="I8" s="6">
        <v>0.5204</v>
      </c>
      <c r="J8" s="6">
        <v>0.4736</v>
      </c>
      <c r="K8" s="6">
        <v>0.5181</v>
      </c>
      <c r="L8" s="6">
        <v>0.5193</v>
      </c>
      <c r="M8" s="6">
        <f t="shared" si="0"/>
        <v>0.51684</v>
      </c>
      <c r="N8" s="6">
        <f t="shared" si="1"/>
        <v>0.0240892414898343</v>
      </c>
    </row>
    <row r="9" spans="1:14">
      <c r="A9" s="5" t="s">
        <v>14</v>
      </c>
      <c r="B9" s="5" t="s">
        <v>22</v>
      </c>
      <c r="C9" s="6">
        <v>0.5262</v>
      </c>
      <c r="D9" s="6">
        <v>0.5295</v>
      </c>
      <c r="E9" s="6">
        <v>0.5154</v>
      </c>
      <c r="F9" s="6">
        <v>0.5046</v>
      </c>
      <c r="G9" s="6">
        <v>0.5387</v>
      </c>
      <c r="H9" s="6">
        <v>0.5633</v>
      </c>
      <c r="I9" s="6">
        <v>0.5214</v>
      </c>
      <c r="J9" s="6">
        <v>0.5277</v>
      </c>
      <c r="K9" s="6">
        <v>0.5195</v>
      </c>
      <c r="L9" s="6">
        <v>0.4828</v>
      </c>
      <c r="M9" s="6">
        <f t="shared" si="0"/>
        <v>0.52291</v>
      </c>
      <c r="N9" s="6">
        <f t="shared" si="1"/>
        <v>0.021008593479812</v>
      </c>
    </row>
    <row r="10" spans="1:14">
      <c r="A10" s="5" t="s">
        <v>14</v>
      </c>
      <c r="B10" s="5" t="s">
        <v>23</v>
      </c>
      <c r="C10" s="6">
        <v>0.5371</v>
      </c>
      <c r="D10" s="6">
        <v>0.5191</v>
      </c>
      <c r="E10" s="6">
        <v>0.5465</v>
      </c>
      <c r="F10" s="6">
        <v>0.513</v>
      </c>
      <c r="G10" s="6">
        <v>0.5341</v>
      </c>
      <c r="H10" s="6">
        <v>0.5242</v>
      </c>
      <c r="I10" s="6">
        <v>0.5119</v>
      </c>
      <c r="J10" s="6">
        <v>0.4959</v>
      </c>
      <c r="K10" s="6">
        <v>0.5284</v>
      </c>
      <c r="L10" s="6">
        <v>0.503</v>
      </c>
      <c r="M10" s="6">
        <f t="shared" si="0"/>
        <v>0.52132</v>
      </c>
      <c r="N10" s="6">
        <f t="shared" si="1"/>
        <v>0.0158095470453071</v>
      </c>
    </row>
    <row r="11" spans="1:14">
      <c r="A11" s="5" t="s">
        <v>14</v>
      </c>
      <c r="B11" s="5" t="s">
        <v>24</v>
      </c>
      <c r="C11" s="6">
        <v>0.4596</v>
      </c>
      <c r="D11" s="6">
        <v>0.4228</v>
      </c>
      <c r="E11" s="6">
        <v>0.4226</v>
      </c>
      <c r="F11" s="6">
        <v>0.4126</v>
      </c>
      <c r="G11" s="6">
        <v>0.4395</v>
      </c>
      <c r="H11" s="6">
        <v>0.4015</v>
      </c>
      <c r="I11" s="6">
        <v>0.3773</v>
      </c>
      <c r="J11" s="6">
        <v>0.4554</v>
      </c>
      <c r="K11" s="6">
        <v>0.413</v>
      </c>
      <c r="L11" s="6">
        <v>0.4612</v>
      </c>
      <c r="M11" s="6">
        <f t="shared" si="0"/>
        <v>0.42655</v>
      </c>
      <c r="N11" s="6">
        <f t="shared" si="1"/>
        <v>0.0273940078606009</v>
      </c>
    </row>
    <row r="12" spans="1:14">
      <c r="A12" s="5" t="s">
        <v>14</v>
      </c>
      <c r="B12" s="5" t="s">
        <v>25</v>
      </c>
      <c r="C12" s="6">
        <v>0.4224</v>
      </c>
      <c r="D12" s="6">
        <v>0.47</v>
      </c>
      <c r="E12" s="6">
        <v>0.41</v>
      </c>
      <c r="F12" s="6">
        <v>0.5029</v>
      </c>
      <c r="G12" s="6">
        <v>0.3969</v>
      </c>
      <c r="H12" s="6">
        <v>0.4017</v>
      </c>
      <c r="I12" s="6">
        <v>0.364</v>
      </c>
      <c r="J12" s="6">
        <v>0.4004</v>
      </c>
      <c r="K12" s="6">
        <v>0.4769</v>
      </c>
      <c r="L12" s="6">
        <v>0.3908</v>
      </c>
      <c r="M12" s="6">
        <f t="shared" si="0"/>
        <v>0.4236</v>
      </c>
      <c r="N12" s="6">
        <f t="shared" si="1"/>
        <v>0.0445065288593832</v>
      </c>
    </row>
    <row r="13" spans="1:14">
      <c r="A13" s="5" t="s">
        <v>14</v>
      </c>
      <c r="B13" s="5" t="s">
        <v>26</v>
      </c>
      <c r="C13" s="6">
        <v>0.5389</v>
      </c>
      <c r="D13" s="6">
        <v>0.5423</v>
      </c>
      <c r="E13" s="6">
        <v>0.535</v>
      </c>
      <c r="F13" s="6">
        <v>0.5592</v>
      </c>
      <c r="G13" s="6">
        <v>0.5262</v>
      </c>
      <c r="H13" s="6">
        <v>0.5677</v>
      </c>
      <c r="I13" s="6">
        <v>0.5347</v>
      </c>
      <c r="J13" s="6">
        <v>0.5273</v>
      </c>
      <c r="K13" s="6">
        <v>0.5293</v>
      </c>
      <c r="L13" s="6">
        <v>0.535</v>
      </c>
      <c r="M13" s="6">
        <f t="shared" si="0"/>
        <v>0.53956</v>
      </c>
      <c r="N13" s="6">
        <f t="shared" si="1"/>
        <v>0.0136821213429952</v>
      </c>
    </row>
    <row r="14" spans="1:14">
      <c r="A14" s="5" t="s">
        <v>14</v>
      </c>
      <c r="B14" s="5" t="s">
        <v>27</v>
      </c>
      <c r="C14" s="6">
        <v>0.4378</v>
      </c>
      <c r="D14" s="6">
        <v>0.4591</v>
      </c>
      <c r="E14" s="6">
        <v>0.5095</v>
      </c>
      <c r="F14" s="6">
        <v>0.4963</v>
      </c>
      <c r="G14" s="6">
        <v>0.5234</v>
      </c>
      <c r="H14" s="6">
        <v>0.5273</v>
      </c>
      <c r="I14" s="6">
        <v>0.434</v>
      </c>
      <c r="J14" s="6">
        <v>0.4828</v>
      </c>
      <c r="K14" s="6">
        <v>0.5099</v>
      </c>
      <c r="L14" s="6">
        <v>0.5061</v>
      </c>
      <c r="M14" s="6">
        <f t="shared" si="0"/>
        <v>0.48862</v>
      </c>
      <c r="N14" s="6">
        <f t="shared" si="1"/>
        <v>0.0340432013117973</v>
      </c>
    </row>
    <row r="15" spans="1:14">
      <c r="A15" s="5" t="s">
        <v>14</v>
      </c>
      <c r="B15" s="5" t="s">
        <v>28</v>
      </c>
      <c r="C15" s="6">
        <v>0.2525</v>
      </c>
      <c r="D15" s="6">
        <v>0.2601</v>
      </c>
      <c r="E15" s="6">
        <v>0.2622</v>
      </c>
      <c r="F15" s="6">
        <v>0.2539</v>
      </c>
      <c r="G15" s="6">
        <v>0.2519</v>
      </c>
      <c r="H15" s="6">
        <v>0.276</v>
      </c>
      <c r="I15" s="6">
        <v>0.2521</v>
      </c>
      <c r="J15" s="6">
        <v>0.2673</v>
      </c>
      <c r="K15" s="6">
        <v>0.277</v>
      </c>
      <c r="L15" s="6">
        <v>0.2524</v>
      </c>
      <c r="M15" s="6">
        <f t="shared" si="0"/>
        <v>0.26054</v>
      </c>
      <c r="N15" s="6">
        <f t="shared" si="1"/>
        <v>0.00988525276471079</v>
      </c>
    </row>
    <row r="16" spans="1:14">
      <c r="A16" s="5" t="s">
        <v>14</v>
      </c>
      <c r="B16" s="5" t="s">
        <v>29</v>
      </c>
      <c r="C16" s="6">
        <v>0.5711</v>
      </c>
      <c r="D16" s="6">
        <v>0.5721</v>
      </c>
      <c r="E16" s="6">
        <v>0.5549</v>
      </c>
      <c r="F16" s="6">
        <v>0.5594</v>
      </c>
      <c r="G16" s="6">
        <v>0.5415</v>
      </c>
      <c r="H16" s="6">
        <v>0.5764</v>
      </c>
      <c r="I16" s="6">
        <v>0.5703</v>
      </c>
      <c r="J16" s="6">
        <v>0.5482</v>
      </c>
      <c r="K16" s="6">
        <v>0.5671</v>
      </c>
      <c r="L16" s="6">
        <v>0.5469</v>
      </c>
      <c r="M16" s="6">
        <f t="shared" si="0"/>
        <v>0.56079</v>
      </c>
      <c r="N16" s="6">
        <f t="shared" si="1"/>
        <v>0.0123302203278503</v>
      </c>
    </row>
    <row r="17" spans="1:14">
      <c r="A17" s="5" t="s">
        <v>14</v>
      </c>
      <c r="B17" s="5" t="s">
        <v>30</v>
      </c>
      <c r="C17" s="6">
        <v>0.2626</v>
      </c>
      <c r="D17" s="6">
        <v>0.2894</v>
      </c>
      <c r="E17" s="6">
        <v>0.2638</v>
      </c>
      <c r="F17" s="6">
        <v>0.2553</v>
      </c>
      <c r="G17" s="6">
        <v>0.2681</v>
      </c>
      <c r="H17" s="6">
        <v>0.2573</v>
      </c>
      <c r="I17" s="6">
        <v>0.2578</v>
      </c>
      <c r="J17" s="6">
        <v>0.255</v>
      </c>
      <c r="K17" s="6">
        <v>0.2704</v>
      </c>
      <c r="L17" s="6">
        <v>0.2524</v>
      </c>
      <c r="M17" s="6">
        <f t="shared" si="0"/>
        <v>0.26321</v>
      </c>
      <c r="N17" s="6">
        <f t="shared" si="1"/>
        <v>0.0109202614946306</v>
      </c>
    </row>
    <row r="18" spans="1:14">
      <c r="A18" s="5" t="s">
        <v>14</v>
      </c>
      <c r="B18" s="5" t="s">
        <v>31</v>
      </c>
      <c r="C18" s="6">
        <v>0.2646</v>
      </c>
      <c r="D18" s="6">
        <v>0.2618</v>
      </c>
      <c r="E18" s="6">
        <v>0.2817</v>
      </c>
      <c r="F18" s="6">
        <v>0.2482</v>
      </c>
      <c r="G18" s="6">
        <v>0.2624</v>
      </c>
      <c r="H18" s="6">
        <v>0.2701</v>
      </c>
      <c r="I18" s="6">
        <v>0.2477</v>
      </c>
      <c r="J18" s="6">
        <v>0.2547</v>
      </c>
      <c r="K18" s="6">
        <v>0.2768</v>
      </c>
      <c r="L18" s="6">
        <v>0.2491</v>
      </c>
      <c r="M18" s="6">
        <f t="shared" si="0"/>
        <v>0.26171</v>
      </c>
      <c r="N18" s="6">
        <f t="shared" si="1"/>
        <v>0.0119883693636791</v>
      </c>
    </row>
    <row r="19" spans="1:14">
      <c r="A19" s="5" t="s">
        <v>14</v>
      </c>
      <c r="B19" s="5" t="s">
        <v>32</v>
      </c>
      <c r="C19" s="6">
        <v>0.4849</v>
      </c>
      <c r="D19" s="6">
        <v>0.4625</v>
      </c>
      <c r="E19" s="6">
        <v>0.4673</v>
      </c>
      <c r="F19" s="6">
        <v>0.4587</v>
      </c>
      <c r="G19" s="6">
        <v>0.451</v>
      </c>
      <c r="H19" s="6">
        <v>0.4489</v>
      </c>
      <c r="I19" s="6">
        <v>0.4522</v>
      </c>
      <c r="J19" s="6">
        <v>0.4619</v>
      </c>
      <c r="K19" s="6">
        <v>0.4617</v>
      </c>
      <c r="L19" s="6">
        <v>0.4606</v>
      </c>
      <c r="M19" s="6">
        <f t="shared" si="0"/>
        <v>0.46097</v>
      </c>
      <c r="N19" s="6">
        <f t="shared" si="1"/>
        <v>0.0102401226121131</v>
      </c>
    </row>
    <row r="20" spans="1:14">
      <c r="A20" s="5" t="s">
        <v>14</v>
      </c>
      <c r="B20" s="5" t="s">
        <v>33</v>
      </c>
      <c r="C20" s="6">
        <v>0.5323</v>
      </c>
      <c r="D20" s="6">
        <v>0.5669</v>
      </c>
      <c r="E20" s="6">
        <v>0.5065</v>
      </c>
      <c r="F20" s="6">
        <v>0.5521</v>
      </c>
      <c r="G20" s="6">
        <v>0.5549</v>
      </c>
      <c r="H20" s="6">
        <v>0.5593</v>
      </c>
      <c r="I20" s="6">
        <v>0.5567</v>
      </c>
      <c r="J20" s="6">
        <v>0.5679</v>
      </c>
      <c r="K20" s="6">
        <v>0.554</v>
      </c>
      <c r="L20" s="6">
        <v>0.5586</v>
      </c>
      <c r="M20" s="6">
        <f t="shared" si="0"/>
        <v>0.55092</v>
      </c>
      <c r="N20" s="6">
        <f t="shared" si="1"/>
        <v>0.0184175520149183</v>
      </c>
    </row>
    <row r="21" spans="1:14">
      <c r="A21" s="5" t="s">
        <v>14</v>
      </c>
      <c r="B21" s="5" t="s">
        <v>34</v>
      </c>
      <c r="C21" s="6">
        <v>0.5786</v>
      </c>
      <c r="D21" s="6">
        <v>0.5819</v>
      </c>
      <c r="E21" s="6">
        <v>0.5371</v>
      </c>
      <c r="F21" s="6">
        <v>0.5029</v>
      </c>
      <c r="G21" s="6">
        <v>0.5408</v>
      </c>
      <c r="H21" s="6">
        <v>0.4688</v>
      </c>
      <c r="I21" s="6">
        <v>0.4931</v>
      </c>
      <c r="J21" s="6">
        <v>0.5256</v>
      </c>
      <c r="K21" s="6">
        <v>0.5714</v>
      </c>
      <c r="L21" s="6">
        <v>0.4686</v>
      </c>
      <c r="M21" s="6">
        <f t="shared" si="0"/>
        <v>0.52688</v>
      </c>
      <c r="N21" s="6">
        <f t="shared" si="1"/>
        <v>0.0427785200512801</v>
      </c>
    </row>
    <row r="22" spans="1:14">
      <c r="A22" s="5" t="s">
        <v>14</v>
      </c>
      <c r="B22" s="5" t="s">
        <v>35</v>
      </c>
      <c r="C22" s="6">
        <v>0.4643</v>
      </c>
      <c r="D22" s="6">
        <v>0.4604</v>
      </c>
      <c r="E22" s="6">
        <v>0.4725</v>
      </c>
      <c r="F22" s="6">
        <v>0.4623</v>
      </c>
      <c r="G22" s="6">
        <v>0.4616</v>
      </c>
      <c r="H22" s="6">
        <v>0.4672</v>
      </c>
      <c r="I22" s="6">
        <v>0.4691</v>
      </c>
      <c r="J22" s="6">
        <v>0.4704</v>
      </c>
      <c r="K22" s="6">
        <v>0.4675</v>
      </c>
      <c r="L22" s="6">
        <v>0.4723</v>
      </c>
      <c r="M22" s="6">
        <f t="shared" si="0"/>
        <v>0.46676</v>
      </c>
      <c r="N22" s="6">
        <f t="shared" si="1"/>
        <v>0.00442372392146406</v>
      </c>
    </row>
    <row r="23" spans="1:14">
      <c r="A23" s="5" t="s">
        <v>14</v>
      </c>
      <c r="B23" s="5" t="s">
        <v>36</v>
      </c>
      <c r="C23" s="6">
        <v>0.5592</v>
      </c>
      <c r="D23" s="6">
        <v>0.5601</v>
      </c>
      <c r="E23" s="6">
        <v>0.556</v>
      </c>
      <c r="F23" s="6">
        <v>0.5574</v>
      </c>
      <c r="G23" s="6">
        <v>0.4974</v>
      </c>
      <c r="H23" s="6">
        <v>0.5598</v>
      </c>
      <c r="I23" s="6">
        <v>0.4844</v>
      </c>
      <c r="J23" s="6">
        <v>0.5581</v>
      </c>
      <c r="K23" s="6">
        <v>0.5503</v>
      </c>
      <c r="L23" s="6">
        <v>0.4579</v>
      </c>
      <c r="M23" s="6">
        <f t="shared" si="0"/>
        <v>0.53406</v>
      </c>
      <c r="N23" s="6">
        <f t="shared" si="1"/>
        <v>0.0386592579109096</v>
      </c>
    </row>
    <row r="24" spans="1:14">
      <c r="A24" s="5" t="s">
        <v>14</v>
      </c>
      <c r="B24" s="5" t="s">
        <v>37</v>
      </c>
      <c r="C24" s="6">
        <v>0.5771</v>
      </c>
      <c r="D24" s="6">
        <v>0.4957</v>
      </c>
      <c r="E24" s="6">
        <v>0.5782</v>
      </c>
      <c r="F24" s="6">
        <v>0.5821</v>
      </c>
      <c r="G24" s="6">
        <v>0.5715</v>
      </c>
      <c r="H24" s="6">
        <v>0.5707</v>
      </c>
      <c r="I24" s="6">
        <v>0.5736</v>
      </c>
      <c r="J24" s="6">
        <v>0.5727</v>
      </c>
      <c r="K24" s="6">
        <v>0.5743</v>
      </c>
      <c r="L24" s="6">
        <v>0.5716</v>
      </c>
      <c r="M24" s="6">
        <f t="shared" si="0"/>
        <v>0.56675</v>
      </c>
      <c r="N24" s="6">
        <f t="shared" si="1"/>
        <v>0.0252167602994516</v>
      </c>
    </row>
    <row r="25" spans="1:14">
      <c r="A25" s="5" t="s">
        <v>14</v>
      </c>
      <c r="B25" s="5" t="s">
        <v>38</v>
      </c>
      <c r="C25" s="6">
        <v>0.4593</v>
      </c>
      <c r="D25" s="6">
        <v>0.4673</v>
      </c>
      <c r="E25" s="6">
        <v>0.4591</v>
      </c>
      <c r="F25" s="6">
        <v>0.4671</v>
      </c>
      <c r="G25" s="6">
        <v>0.4609</v>
      </c>
      <c r="H25" s="6">
        <v>0.4563</v>
      </c>
      <c r="I25" s="6">
        <v>0.4695</v>
      </c>
      <c r="J25" s="6">
        <v>0.4664</v>
      </c>
      <c r="K25" s="6">
        <v>0.4587</v>
      </c>
      <c r="L25" s="6">
        <v>0.4632</v>
      </c>
      <c r="M25" s="6">
        <f t="shared" si="0"/>
        <v>0.46278</v>
      </c>
      <c r="N25" s="6">
        <f t="shared" si="1"/>
        <v>0.0045381836797458</v>
      </c>
    </row>
    <row r="26" spans="1:14">
      <c r="A26" s="5" t="s">
        <v>14</v>
      </c>
      <c r="B26" s="5" t="s">
        <v>39</v>
      </c>
      <c r="C26" s="6">
        <v>0.549</v>
      </c>
      <c r="D26" s="6">
        <v>0.5512</v>
      </c>
      <c r="E26" s="6">
        <v>0.4691</v>
      </c>
      <c r="F26" s="6">
        <v>0.5593</v>
      </c>
      <c r="G26" s="6">
        <v>0.5661</v>
      </c>
      <c r="H26" s="6">
        <v>0.4991</v>
      </c>
      <c r="I26" s="6">
        <v>0.5527</v>
      </c>
      <c r="J26" s="6">
        <v>0.55</v>
      </c>
      <c r="K26" s="6">
        <v>0.538</v>
      </c>
      <c r="L26" s="6">
        <v>0.501</v>
      </c>
      <c r="M26" s="6">
        <f t="shared" si="0"/>
        <v>0.53355</v>
      </c>
      <c r="N26" s="6">
        <f t="shared" si="1"/>
        <v>0.0321973515128876</v>
      </c>
    </row>
    <row r="27" spans="1:14">
      <c r="A27" s="5" t="s">
        <v>14</v>
      </c>
      <c r="B27" s="5" t="s">
        <v>40</v>
      </c>
      <c r="C27" s="6">
        <v>0.5758</v>
      </c>
      <c r="D27" s="6">
        <v>0.5663</v>
      </c>
      <c r="E27" s="6">
        <v>0.5802</v>
      </c>
      <c r="F27" s="6">
        <v>0.5823</v>
      </c>
      <c r="G27" s="6">
        <v>0.551</v>
      </c>
      <c r="H27" s="6">
        <v>0.5768</v>
      </c>
      <c r="I27" s="6">
        <v>0.5733</v>
      </c>
      <c r="J27" s="6">
        <v>0.5774</v>
      </c>
      <c r="K27" s="6">
        <v>0.5736</v>
      </c>
      <c r="L27" s="6">
        <v>0.5265</v>
      </c>
      <c r="M27" s="6">
        <f t="shared" si="0"/>
        <v>0.56832</v>
      </c>
      <c r="N27" s="6">
        <f t="shared" si="1"/>
        <v>0.0171675922080594</v>
      </c>
    </row>
    <row r="28" spans="1:14">
      <c r="A28" s="5" t="s">
        <v>14</v>
      </c>
      <c r="B28" s="5" t="s">
        <v>41</v>
      </c>
      <c r="C28" s="6">
        <v>0.4942</v>
      </c>
      <c r="D28" s="6">
        <v>0.4948</v>
      </c>
      <c r="E28" s="6">
        <v>0.5019</v>
      </c>
      <c r="F28" s="6">
        <v>0.4835</v>
      </c>
      <c r="G28" s="6">
        <v>0.5083</v>
      </c>
      <c r="H28" s="6">
        <v>0.5214</v>
      </c>
      <c r="I28" s="6">
        <v>0.4725</v>
      </c>
      <c r="J28" s="6">
        <v>0.4949</v>
      </c>
      <c r="K28" s="6">
        <v>0.4787</v>
      </c>
      <c r="L28" s="6">
        <v>0.4934</v>
      </c>
      <c r="M28" s="6">
        <f t="shared" si="0"/>
        <v>0.49436</v>
      </c>
      <c r="N28" s="6">
        <f t="shared" si="1"/>
        <v>0.0142392415528356</v>
      </c>
    </row>
    <row r="29" spans="1:14">
      <c r="A29" s="5" t="s">
        <v>14</v>
      </c>
      <c r="B29" s="5" t="s">
        <v>42</v>
      </c>
      <c r="C29" s="6">
        <v>0.5349</v>
      </c>
      <c r="D29" s="6">
        <v>0.4798</v>
      </c>
      <c r="E29" s="6">
        <v>0.5016</v>
      </c>
      <c r="F29" s="6">
        <v>0.5325</v>
      </c>
      <c r="G29" s="6">
        <v>0.5368</v>
      </c>
      <c r="H29" s="6">
        <v>0.5357</v>
      </c>
      <c r="I29" s="6">
        <v>0.4494</v>
      </c>
      <c r="J29" s="6">
        <v>0.5366</v>
      </c>
      <c r="K29" s="6">
        <v>0.5294</v>
      </c>
      <c r="L29" s="6">
        <v>0.4623</v>
      </c>
      <c r="M29" s="6">
        <f t="shared" si="0"/>
        <v>0.5099</v>
      </c>
      <c r="N29" s="6">
        <f t="shared" si="1"/>
        <v>0.0341874895896795</v>
      </c>
    </row>
    <row r="30" spans="1:14">
      <c r="A30" s="5" t="s">
        <v>14</v>
      </c>
      <c r="B30" s="5" t="s">
        <v>43</v>
      </c>
      <c r="C30" s="6">
        <v>0.3544</v>
      </c>
      <c r="D30" s="6">
        <v>0.4149</v>
      </c>
      <c r="E30" s="6">
        <v>0.4698</v>
      </c>
      <c r="F30" s="6">
        <v>0.4783</v>
      </c>
      <c r="G30" s="6">
        <v>0.4685</v>
      </c>
      <c r="H30" s="6">
        <v>0.4003</v>
      </c>
      <c r="I30" s="6">
        <v>0.4902</v>
      </c>
      <c r="J30" s="6">
        <v>0.4079</v>
      </c>
      <c r="K30" s="6">
        <v>0.4589</v>
      </c>
      <c r="L30" s="6">
        <v>0.4365</v>
      </c>
      <c r="M30" s="6">
        <f t="shared" si="0"/>
        <v>0.43797</v>
      </c>
      <c r="N30" s="6">
        <f t="shared" si="1"/>
        <v>0.0429202632797144</v>
      </c>
    </row>
    <row r="31" spans="1:14">
      <c r="A31" s="5" t="s">
        <v>14</v>
      </c>
      <c r="B31" s="5" t="s">
        <v>44</v>
      </c>
      <c r="C31" s="6">
        <v>0.4882</v>
      </c>
      <c r="D31" s="6">
        <v>0.5003</v>
      </c>
      <c r="E31" s="6">
        <v>0.5042</v>
      </c>
      <c r="F31" s="6">
        <v>0.528</v>
      </c>
      <c r="G31" s="6">
        <v>0.5077</v>
      </c>
      <c r="H31" s="6">
        <v>0.4838</v>
      </c>
      <c r="I31" s="6">
        <v>0.5098</v>
      </c>
      <c r="J31" s="6">
        <v>0.5171</v>
      </c>
      <c r="K31" s="6">
        <v>0.5372</v>
      </c>
      <c r="L31" s="6">
        <v>0.4928</v>
      </c>
      <c r="M31" s="6">
        <f t="shared" si="0"/>
        <v>0.50691</v>
      </c>
      <c r="N31" s="6">
        <f t="shared" si="1"/>
        <v>0.0170272624536849</v>
      </c>
    </row>
    <row r="32" spans="1:14">
      <c r="A32" s="5" t="s">
        <v>14</v>
      </c>
      <c r="B32" s="5" t="s">
        <v>45</v>
      </c>
      <c r="C32" s="6">
        <v>0.4467</v>
      </c>
      <c r="D32" s="6">
        <v>0.3829</v>
      </c>
      <c r="E32" s="6">
        <v>0.4451</v>
      </c>
      <c r="F32" s="6">
        <v>0.3873</v>
      </c>
      <c r="G32" s="6">
        <v>0.4414</v>
      </c>
      <c r="H32" s="6">
        <v>0.4286</v>
      </c>
      <c r="I32" s="6">
        <v>0.4808</v>
      </c>
      <c r="J32" s="6">
        <v>0.3975</v>
      </c>
      <c r="K32" s="6">
        <v>0.4184</v>
      </c>
      <c r="L32" s="6">
        <v>0.4018</v>
      </c>
      <c r="M32" s="6">
        <f t="shared" si="0"/>
        <v>0.42305</v>
      </c>
      <c r="N32" s="6">
        <f t="shared" si="1"/>
        <v>0.0312057419929944</v>
      </c>
    </row>
    <row r="33" spans="1:14">
      <c r="A33" s="5" t="s">
        <v>14</v>
      </c>
      <c r="B33" s="5" t="s">
        <v>46</v>
      </c>
      <c r="C33" s="6">
        <v>0.3982</v>
      </c>
      <c r="D33" s="6">
        <v>0.4844</v>
      </c>
      <c r="E33" s="6">
        <v>0.4314</v>
      </c>
      <c r="F33" s="6">
        <v>0.4579</v>
      </c>
      <c r="G33" s="6">
        <v>0.4799</v>
      </c>
      <c r="H33" s="6">
        <v>0.4356</v>
      </c>
      <c r="I33" s="6">
        <v>0.4419</v>
      </c>
      <c r="J33" s="6">
        <v>0.4576</v>
      </c>
      <c r="K33" s="6">
        <v>0.5202</v>
      </c>
      <c r="L33" s="6">
        <v>0.3881</v>
      </c>
      <c r="M33" s="6">
        <f t="shared" si="0"/>
        <v>0.44952</v>
      </c>
      <c r="N33" s="6">
        <f t="shared" si="1"/>
        <v>0.0398009715124309</v>
      </c>
    </row>
    <row r="34" spans="1:14">
      <c r="A34" s="5" t="s">
        <v>14</v>
      </c>
      <c r="B34" s="5" t="s">
        <v>47</v>
      </c>
      <c r="C34" s="6">
        <v>0.4052</v>
      </c>
      <c r="D34" s="6">
        <v>0.417</v>
      </c>
      <c r="E34" s="6">
        <v>0.4383</v>
      </c>
      <c r="F34" s="6">
        <v>0.4571</v>
      </c>
      <c r="G34" s="6">
        <v>0.4945</v>
      </c>
      <c r="H34" s="6">
        <v>0.426</v>
      </c>
      <c r="I34" s="6">
        <v>0.4182</v>
      </c>
      <c r="J34" s="6">
        <v>0.4304</v>
      </c>
      <c r="K34" s="6">
        <v>0.4251</v>
      </c>
      <c r="L34" s="6">
        <v>0.4768</v>
      </c>
      <c r="M34" s="6">
        <f t="shared" si="0"/>
        <v>0.43886</v>
      </c>
      <c r="N34" s="6">
        <f t="shared" si="1"/>
        <v>0.0285428410950588</v>
      </c>
    </row>
    <row r="35" spans="1:14">
      <c r="A35" s="5" t="s">
        <v>14</v>
      </c>
      <c r="B35" s="5" t="s">
        <v>48</v>
      </c>
      <c r="C35" s="6">
        <v>0.4374</v>
      </c>
      <c r="D35" s="6">
        <v>0.4854</v>
      </c>
      <c r="E35" s="6">
        <v>0.4317</v>
      </c>
      <c r="F35" s="6">
        <v>0.5154</v>
      </c>
      <c r="G35" s="6">
        <v>0.508</v>
      </c>
      <c r="H35" s="6">
        <v>0.4726</v>
      </c>
      <c r="I35" s="6">
        <v>0.4185</v>
      </c>
      <c r="J35" s="6">
        <v>0.4505</v>
      </c>
      <c r="K35" s="6">
        <v>0.4209</v>
      </c>
      <c r="L35" s="6">
        <v>0.4554</v>
      </c>
      <c r="M35" s="6">
        <f t="shared" si="0"/>
        <v>0.45958</v>
      </c>
      <c r="N35" s="6">
        <f t="shared" si="1"/>
        <v>0.0347202086527269</v>
      </c>
    </row>
    <row r="36" spans="1:14">
      <c r="A36" s="5" t="s">
        <v>14</v>
      </c>
      <c r="B36" s="5" t="s">
        <v>49</v>
      </c>
      <c r="C36" s="6">
        <v>0.4348</v>
      </c>
      <c r="D36" s="6">
        <v>0.4247</v>
      </c>
      <c r="E36" s="6">
        <v>0.4587</v>
      </c>
      <c r="F36" s="6">
        <v>0.4341</v>
      </c>
      <c r="G36" s="6">
        <v>0.44</v>
      </c>
      <c r="H36" s="6">
        <v>0.4715</v>
      </c>
      <c r="I36" s="6">
        <v>0.4446</v>
      </c>
      <c r="J36" s="6">
        <v>0.4266</v>
      </c>
      <c r="K36" s="6">
        <v>0.4426</v>
      </c>
      <c r="L36" s="6">
        <v>0.4621</v>
      </c>
      <c r="M36" s="6">
        <f t="shared" si="0"/>
        <v>0.44397</v>
      </c>
      <c r="N36" s="6">
        <f t="shared" si="1"/>
        <v>0.0155497802771186</v>
      </c>
    </row>
    <row r="37" spans="1:14">
      <c r="A37" s="5" t="s">
        <v>14</v>
      </c>
      <c r="B37" s="5" t="s">
        <v>50</v>
      </c>
      <c r="C37" s="6">
        <v>0.5741</v>
      </c>
      <c r="D37" s="6">
        <v>0.5683</v>
      </c>
      <c r="E37" s="6">
        <v>0.5733</v>
      </c>
      <c r="F37" s="6">
        <v>0.5793</v>
      </c>
      <c r="G37" s="6">
        <v>0.6116</v>
      </c>
      <c r="H37" s="6">
        <v>0.5612</v>
      </c>
      <c r="I37" s="6">
        <v>0.5652</v>
      </c>
      <c r="J37" s="6">
        <v>0.5677</v>
      </c>
      <c r="K37" s="6">
        <v>0.5641</v>
      </c>
      <c r="L37" s="6">
        <v>0.5615</v>
      </c>
      <c r="M37" s="6">
        <f t="shared" si="0"/>
        <v>0.57263</v>
      </c>
      <c r="N37" s="6">
        <f t="shared" si="1"/>
        <v>0.0148746652623401</v>
      </c>
    </row>
    <row r="38" spans="1:14">
      <c r="A38" s="5" t="s">
        <v>14</v>
      </c>
      <c r="B38" s="5" t="s">
        <v>51</v>
      </c>
      <c r="C38" s="6">
        <v>0.6153</v>
      </c>
      <c r="D38" s="6">
        <v>0.6249</v>
      </c>
      <c r="E38" s="6">
        <v>0.6043</v>
      </c>
      <c r="F38" s="6">
        <v>0.594</v>
      </c>
      <c r="G38" s="6">
        <v>0.5913</v>
      </c>
      <c r="H38" s="6">
        <v>0.6666</v>
      </c>
      <c r="I38" s="6">
        <v>0.5911</v>
      </c>
      <c r="J38" s="6">
        <v>0.5922</v>
      </c>
      <c r="K38" s="6">
        <v>0.666</v>
      </c>
      <c r="L38" s="6">
        <v>0.6077</v>
      </c>
      <c r="M38" s="6">
        <f t="shared" si="0"/>
        <v>0.61534</v>
      </c>
      <c r="N38" s="6">
        <f t="shared" si="1"/>
        <v>0.0291014012644676</v>
      </c>
    </row>
    <row r="39" spans="1:14">
      <c r="A39" s="5" t="s">
        <v>14</v>
      </c>
      <c r="B39" s="5" t="s">
        <v>52</v>
      </c>
      <c r="C39" s="6">
        <v>0.5799</v>
      </c>
      <c r="D39" s="6">
        <v>0.5821</v>
      </c>
      <c r="E39" s="6">
        <v>0.6265</v>
      </c>
      <c r="F39" s="6">
        <v>0.5835</v>
      </c>
      <c r="G39" s="6">
        <v>0.5964</v>
      </c>
      <c r="H39" s="6">
        <v>0.5811</v>
      </c>
      <c r="I39" s="6">
        <v>0.5823</v>
      </c>
      <c r="J39" s="6">
        <v>0.5797</v>
      </c>
      <c r="K39" s="6">
        <v>0.6565</v>
      </c>
      <c r="L39" s="6">
        <v>0.5897</v>
      </c>
      <c r="M39" s="6">
        <f t="shared" si="0"/>
        <v>0.59577</v>
      </c>
      <c r="N39" s="6">
        <f t="shared" si="1"/>
        <v>0.025633920669474</v>
      </c>
    </row>
    <row r="40" spans="1:14">
      <c r="A40" s="5" t="s">
        <v>14</v>
      </c>
      <c r="B40" s="5" t="s">
        <v>53</v>
      </c>
      <c r="C40" s="6">
        <v>0.586</v>
      </c>
      <c r="D40" s="6">
        <v>0.5975</v>
      </c>
      <c r="E40" s="6">
        <v>0.5762</v>
      </c>
      <c r="F40" s="6">
        <v>0.6024</v>
      </c>
      <c r="G40" s="6">
        <v>0.5878</v>
      </c>
      <c r="H40" s="6">
        <v>0.5818</v>
      </c>
      <c r="I40" s="6">
        <v>0.5936</v>
      </c>
      <c r="J40" s="6">
        <v>0.6141</v>
      </c>
      <c r="K40" s="6">
        <v>0.6142</v>
      </c>
      <c r="L40" s="6">
        <v>0.5832</v>
      </c>
      <c r="M40" s="6">
        <f t="shared" si="0"/>
        <v>0.59368</v>
      </c>
      <c r="N40" s="6">
        <f t="shared" si="1"/>
        <v>0.0132445208797198</v>
      </c>
    </row>
    <row r="41" spans="1:14">
      <c r="A41" s="5" t="s">
        <v>14</v>
      </c>
      <c r="B41" s="5" t="s">
        <v>54</v>
      </c>
      <c r="C41" s="6">
        <v>0.5338</v>
      </c>
      <c r="D41" s="6">
        <v>0.5124</v>
      </c>
      <c r="E41" s="6">
        <v>0.5252</v>
      </c>
      <c r="F41" s="6">
        <v>0.5145</v>
      </c>
      <c r="G41" s="6">
        <v>0.5269</v>
      </c>
      <c r="H41" s="6">
        <v>0.5381</v>
      </c>
      <c r="I41" s="6">
        <v>0.548</v>
      </c>
      <c r="J41" s="6">
        <v>0.5224</v>
      </c>
      <c r="K41" s="6">
        <v>0.5125</v>
      </c>
      <c r="L41" s="6">
        <v>0.5167</v>
      </c>
      <c r="M41" s="6">
        <f t="shared" si="0"/>
        <v>0.52505</v>
      </c>
      <c r="N41" s="6">
        <f t="shared" si="1"/>
        <v>0.0119377319640058</v>
      </c>
    </row>
    <row r="42" spans="1:14">
      <c r="A42" s="5" t="s">
        <v>14</v>
      </c>
      <c r="B42" s="5" t="s">
        <v>55</v>
      </c>
      <c r="C42" s="6">
        <v>0.4944</v>
      </c>
      <c r="D42" s="6">
        <v>0.4721</v>
      </c>
      <c r="E42" s="6">
        <v>0.5087</v>
      </c>
      <c r="F42" s="6">
        <v>0.4766</v>
      </c>
      <c r="G42" s="6">
        <v>0.4681</v>
      </c>
      <c r="H42" s="6">
        <v>0.4839</v>
      </c>
      <c r="I42" s="6">
        <v>0.4524</v>
      </c>
      <c r="J42" s="6">
        <v>0.4808</v>
      </c>
      <c r="K42" s="6">
        <v>0.4757</v>
      </c>
      <c r="L42" s="6">
        <v>0.4567</v>
      </c>
      <c r="M42" s="6">
        <f t="shared" si="0"/>
        <v>0.47694</v>
      </c>
      <c r="N42" s="6">
        <f t="shared" si="1"/>
        <v>0.0166399252135072</v>
      </c>
    </row>
    <row r="43" spans="1:14">
      <c r="A43" s="5" t="s">
        <v>14</v>
      </c>
      <c r="B43" s="5" t="s">
        <v>56</v>
      </c>
      <c r="C43" s="6">
        <v>0.4796</v>
      </c>
      <c r="D43" s="6">
        <v>0.4949</v>
      </c>
      <c r="E43" s="6">
        <v>0.4764</v>
      </c>
      <c r="F43" s="6">
        <v>0.4791</v>
      </c>
      <c r="G43" s="6">
        <v>0.4451</v>
      </c>
      <c r="H43" s="6">
        <v>0.464</v>
      </c>
      <c r="I43" s="6">
        <v>0.4345</v>
      </c>
      <c r="J43" s="6">
        <v>0.4604</v>
      </c>
      <c r="K43" s="6">
        <v>0.4337</v>
      </c>
      <c r="L43" s="6">
        <v>0.4604</v>
      </c>
      <c r="M43" s="6">
        <f t="shared" si="0"/>
        <v>0.46281</v>
      </c>
      <c r="N43" s="6">
        <f t="shared" si="1"/>
        <v>0.0203776811460207</v>
      </c>
    </row>
    <row r="44" spans="1:14">
      <c r="A44" s="5" t="s">
        <v>14</v>
      </c>
      <c r="B44" s="5" t="s">
        <v>57</v>
      </c>
      <c r="C44" s="6">
        <v>0.4604</v>
      </c>
      <c r="D44" s="6">
        <v>0.3934</v>
      </c>
      <c r="E44" s="6">
        <v>0.3891</v>
      </c>
      <c r="F44" s="6">
        <v>0.381</v>
      </c>
      <c r="G44" s="6">
        <v>0.4195</v>
      </c>
      <c r="H44" s="6">
        <v>0.4023</v>
      </c>
      <c r="I44" s="6">
        <v>0.4128</v>
      </c>
      <c r="J44" s="6">
        <v>0.4224</v>
      </c>
      <c r="K44" s="6">
        <v>0.4399</v>
      </c>
      <c r="L44" s="6">
        <v>0.414</v>
      </c>
      <c r="M44" s="6">
        <f t="shared" si="0"/>
        <v>0.41348</v>
      </c>
      <c r="N44" s="6">
        <f t="shared" si="1"/>
        <v>0.0240221564394207</v>
      </c>
    </row>
    <row r="45" spans="1:14">
      <c r="A45" s="5" t="s">
        <v>14</v>
      </c>
      <c r="B45" s="5" t="s">
        <v>58</v>
      </c>
      <c r="C45" s="6">
        <v>0.4445</v>
      </c>
      <c r="D45" s="6">
        <v>0.3976</v>
      </c>
      <c r="E45" s="6">
        <v>0.4216</v>
      </c>
      <c r="F45" s="6">
        <v>0.4618</v>
      </c>
      <c r="G45" s="6">
        <v>0.4658</v>
      </c>
      <c r="H45" s="6">
        <v>0.4295</v>
      </c>
      <c r="I45" s="6">
        <v>0.4407</v>
      </c>
      <c r="J45" s="6">
        <v>0.4366</v>
      </c>
      <c r="K45" s="6">
        <v>0.4376</v>
      </c>
      <c r="L45" s="6">
        <v>0.4164</v>
      </c>
      <c r="M45" s="6">
        <f t="shared" si="0"/>
        <v>0.43521</v>
      </c>
      <c r="N45" s="6">
        <f t="shared" si="1"/>
        <v>0.0204206567529603</v>
      </c>
    </row>
    <row r="46" spans="1:14">
      <c r="A46" s="5" t="s">
        <v>14</v>
      </c>
      <c r="B46" s="5" t="s">
        <v>59</v>
      </c>
      <c r="C46" s="6">
        <v>0.4864</v>
      </c>
      <c r="D46" s="6">
        <v>0.4785</v>
      </c>
      <c r="E46" s="6">
        <v>0.4631</v>
      </c>
      <c r="F46" s="6">
        <v>0.4919</v>
      </c>
      <c r="G46" s="6">
        <v>0.485</v>
      </c>
      <c r="H46" s="6">
        <v>0.4714</v>
      </c>
      <c r="I46" s="6">
        <v>0.438</v>
      </c>
      <c r="J46" s="6">
        <v>0.4774</v>
      </c>
      <c r="K46" s="6">
        <v>0.5001</v>
      </c>
      <c r="L46" s="6">
        <v>0.4648</v>
      </c>
      <c r="M46" s="6">
        <f t="shared" si="0"/>
        <v>0.47566</v>
      </c>
      <c r="N46" s="6">
        <f t="shared" si="1"/>
        <v>0.0175968557797503</v>
      </c>
    </row>
    <row r="47" spans="1:14">
      <c r="A47" s="5" t="s">
        <v>14</v>
      </c>
      <c r="B47" s="5" t="s">
        <v>60</v>
      </c>
      <c r="C47" s="6">
        <v>0.5397</v>
      </c>
      <c r="D47" s="6">
        <v>0.5007</v>
      </c>
      <c r="E47" s="6">
        <v>0.5387</v>
      </c>
      <c r="F47" s="6">
        <v>0.5125</v>
      </c>
      <c r="G47" s="6">
        <v>0.5518</v>
      </c>
      <c r="H47" s="6">
        <v>0.5163</v>
      </c>
      <c r="I47" s="6">
        <v>0.5083</v>
      </c>
      <c r="J47" s="6">
        <v>0.5575</v>
      </c>
      <c r="K47" s="6">
        <v>0.5229</v>
      </c>
      <c r="L47" s="6">
        <v>0.5099</v>
      </c>
      <c r="M47" s="6">
        <f t="shared" si="0"/>
        <v>0.52583</v>
      </c>
      <c r="N47" s="6">
        <f t="shared" si="1"/>
        <v>0.0197346874535395</v>
      </c>
    </row>
    <row r="48" spans="1:14">
      <c r="A48" s="5" t="s">
        <v>14</v>
      </c>
      <c r="B48" s="5" t="s">
        <v>61</v>
      </c>
      <c r="C48" s="6">
        <v>0.468</v>
      </c>
      <c r="D48" s="6">
        <v>0.4214</v>
      </c>
      <c r="E48" s="6">
        <v>0.4378</v>
      </c>
      <c r="F48" s="6">
        <v>0.4944</v>
      </c>
      <c r="G48" s="6">
        <v>0.4047</v>
      </c>
      <c r="H48" s="6">
        <v>0.4005</v>
      </c>
      <c r="I48" s="6">
        <v>0.4568</v>
      </c>
      <c r="J48" s="6">
        <v>0.4433</v>
      </c>
      <c r="K48" s="6">
        <v>0.4518</v>
      </c>
      <c r="L48" s="6">
        <v>0.4123</v>
      </c>
      <c r="M48" s="6">
        <f t="shared" si="0"/>
        <v>0.4391</v>
      </c>
      <c r="N48" s="6">
        <f t="shared" si="1"/>
        <v>0.0299852926912141</v>
      </c>
    </row>
    <row r="49" spans="1:14">
      <c r="A49" s="5" t="s">
        <v>14</v>
      </c>
      <c r="B49" s="5" t="s">
        <v>62</v>
      </c>
      <c r="C49" s="6">
        <v>0.5987</v>
      </c>
      <c r="D49" s="6">
        <v>0.5765</v>
      </c>
      <c r="E49" s="6">
        <v>0.5821</v>
      </c>
      <c r="F49" s="6">
        <v>0.6251</v>
      </c>
      <c r="G49" s="6">
        <v>0.5182</v>
      </c>
      <c r="H49" s="6">
        <v>0.5476</v>
      </c>
      <c r="I49" s="6">
        <v>0.596</v>
      </c>
      <c r="J49" s="6">
        <v>0.6051</v>
      </c>
      <c r="K49" s="6">
        <v>0.5119</v>
      </c>
      <c r="L49" s="6">
        <v>0.6084</v>
      </c>
      <c r="M49" s="6">
        <f t="shared" si="0"/>
        <v>0.57696</v>
      </c>
      <c r="N49" s="6">
        <f t="shared" si="1"/>
        <v>0.0387400510525677</v>
      </c>
    </row>
    <row r="50" spans="1:14">
      <c r="A50" s="5" t="s">
        <v>14</v>
      </c>
      <c r="B50" s="5" t="s">
        <v>63</v>
      </c>
      <c r="C50" s="6">
        <v>0.5559</v>
      </c>
      <c r="D50" s="6">
        <v>0.5421</v>
      </c>
      <c r="E50" s="6">
        <v>0.5363</v>
      </c>
      <c r="F50" s="6">
        <v>0.5369</v>
      </c>
      <c r="G50" s="6">
        <v>0.5186</v>
      </c>
      <c r="H50" s="6">
        <v>0.5643</v>
      </c>
      <c r="I50" s="6">
        <v>0.552</v>
      </c>
      <c r="J50" s="6">
        <v>0.5533</v>
      </c>
      <c r="K50" s="6">
        <v>0.5322</v>
      </c>
      <c r="L50" s="6">
        <v>0.5343</v>
      </c>
      <c r="M50" s="6">
        <f t="shared" si="0"/>
        <v>0.54259</v>
      </c>
      <c r="N50" s="6">
        <f t="shared" si="1"/>
        <v>0.0136467700696294</v>
      </c>
    </row>
    <row r="51" spans="1:14">
      <c r="A51" s="5" t="s">
        <v>14</v>
      </c>
      <c r="B51" s="5" t="s">
        <v>64</v>
      </c>
      <c r="C51" s="6">
        <v>0.5045</v>
      </c>
      <c r="D51" s="6">
        <v>0.5218</v>
      </c>
      <c r="E51" s="6">
        <v>0.5084</v>
      </c>
      <c r="F51" s="6">
        <v>0.5238</v>
      </c>
      <c r="G51" s="6">
        <v>0.5384</v>
      </c>
      <c r="H51" s="6">
        <v>0.5352</v>
      </c>
      <c r="I51" s="6">
        <v>0.5428</v>
      </c>
      <c r="J51" s="6">
        <v>0.5306</v>
      </c>
      <c r="K51" s="6">
        <v>0.5295</v>
      </c>
      <c r="L51" s="6">
        <v>0.5665</v>
      </c>
      <c r="M51" s="6">
        <f t="shared" si="0"/>
        <v>0.53015</v>
      </c>
      <c r="N51" s="6">
        <f t="shared" si="1"/>
        <v>0.0176904399794541</v>
      </c>
    </row>
    <row r="52" spans="1:14">
      <c r="A52" s="5" t="s">
        <v>14</v>
      </c>
      <c r="B52" s="5" t="s">
        <v>65</v>
      </c>
      <c r="C52" s="6">
        <v>0.4585</v>
      </c>
      <c r="D52" s="6">
        <v>0.4603</v>
      </c>
      <c r="E52" s="6">
        <v>0.4659</v>
      </c>
      <c r="F52" s="6">
        <v>0.4509</v>
      </c>
      <c r="G52" s="6">
        <v>0.4407</v>
      </c>
      <c r="H52" s="6">
        <v>0.4578</v>
      </c>
      <c r="I52" s="6">
        <v>0.4688</v>
      </c>
      <c r="J52" s="6">
        <v>0.4538</v>
      </c>
      <c r="K52" s="6">
        <v>0.4663</v>
      </c>
      <c r="L52" s="6">
        <v>0.4561</v>
      </c>
      <c r="M52" s="6">
        <f t="shared" si="0"/>
        <v>0.45791</v>
      </c>
      <c r="N52" s="6">
        <f t="shared" si="1"/>
        <v>0.00832925900399042</v>
      </c>
    </row>
    <row r="53" spans="1:14">
      <c r="A53" s="5" t="s">
        <v>14</v>
      </c>
      <c r="B53" s="5" t="s">
        <v>66</v>
      </c>
      <c r="C53" s="6">
        <v>0.5656</v>
      </c>
      <c r="D53" s="6">
        <v>0.5639</v>
      </c>
      <c r="E53" s="6">
        <v>0.5703</v>
      </c>
      <c r="F53" s="6">
        <v>0.5657</v>
      </c>
      <c r="G53" s="6">
        <v>0.5441</v>
      </c>
      <c r="H53" s="6">
        <v>0.5725</v>
      </c>
      <c r="I53" s="6">
        <v>0.5672</v>
      </c>
      <c r="J53" s="6">
        <v>0.5641</v>
      </c>
      <c r="K53" s="6">
        <v>0.5372</v>
      </c>
      <c r="L53" s="6">
        <v>0.4616</v>
      </c>
      <c r="M53" s="6">
        <f t="shared" si="0"/>
        <v>0.55122</v>
      </c>
      <c r="N53" s="6">
        <f t="shared" si="1"/>
        <v>0.0334902572897452</v>
      </c>
    </row>
    <row r="54" spans="1:14">
      <c r="A54" s="5" t="s">
        <v>14</v>
      </c>
      <c r="B54" s="5" t="s">
        <v>67</v>
      </c>
      <c r="C54" s="6">
        <v>0.602</v>
      </c>
      <c r="D54" s="6">
        <v>0.6095</v>
      </c>
      <c r="E54" s="6">
        <v>0.5845</v>
      </c>
      <c r="F54" s="6">
        <v>0.6147</v>
      </c>
      <c r="G54" s="6">
        <v>0.6018</v>
      </c>
      <c r="H54" s="6">
        <v>0.6093</v>
      </c>
      <c r="I54" s="6">
        <v>0.5745</v>
      </c>
      <c r="J54" s="6">
        <v>0.4571</v>
      </c>
      <c r="K54" s="6">
        <v>0.5954</v>
      </c>
      <c r="L54" s="6">
        <v>0.4636</v>
      </c>
      <c r="M54" s="6">
        <f t="shared" si="0"/>
        <v>0.57124</v>
      </c>
      <c r="N54" s="6">
        <f t="shared" si="1"/>
        <v>0.05968968271169</v>
      </c>
    </row>
    <row r="55" spans="1:14">
      <c r="A55" s="5" t="s">
        <v>14</v>
      </c>
      <c r="B55" s="5" t="s">
        <v>68</v>
      </c>
      <c r="C55" s="6">
        <v>0.5572</v>
      </c>
      <c r="D55" s="6">
        <v>0.5525</v>
      </c>
      <c r="E55" s="6">
        <v>0.539</v>
      </c>
      <c r="F55" s="6">
        <v>0.4748</v>
      </c>
      <c r="G55" s="6">
        <v>0.4589</v>
      </c>
      <c r="H55" s="6">
        <v>0.5578</v>
      </c>
      <c r="I55" s="6">
        <v>0.5601</v>
      </c>
      <c r="J55" s="6">
        <v>0.5548</v>
      </c>
      <c r="K55" s="6">
        <v>0.5536</v>
      </c>
      <c r="L55" s="6">
        <v>0.5511</v>
      </c>
      <c r="M55" s="6">
        <f t="shared" si="0"/>
        <v>0.53598</v>
      </c>
      <c r="N55" s="6">
        <f t="shared" si="1"/>
        <v>0.037070197673543</v>
      </c>
    </row>
    <row r="56" spans="1:14">
      <c r="A56" s="5" t="s">
        <v>14</v>
      </c>
      <c r="B56" s="5" t="s">
        <v>69</v>
      </c>
      <c r="C56" s="6">
        <v>0.5765</v>
      </c>
      <c r="D56" s="6">
        <v>0.5751</v>
      </c>
      <c r="E56" s="6">
        <v>0.5733</v>
      </c>
      <c r="F56" s="6">
        <v>0.5786</v>
      </c>
      <c r="G56" s="6">
        <v>0.5804</v>
      </c>
      <c r="H56" s="6">
        <v>0.4827</v>
      </c>
      <c r="I56" s="6">
        <v>0.4703</v>
      </c>
      <c r="J56" s="6">
        <v>0.4686</v>
      </c>
      <c r="K56" s="6">
        <v>0.5111</v>
      </c>
      <c r="L56" s="6">
        <v>0.5549</v>
      </c>
      <c r="M56" s="6">
        <f t="shared" si="0"/>
        <v>0.53715</v>
      </c>
      <c r="N56" s="6">
        <f t="shared" si="1"/>
        <v>0.0483167845232551</v>
      </c>
    </row>
    <row r="57" spans="1:14">
      <c r="A57" s="5" t="s">
        <v>14</v>
      </c>
      <c r="B57" s="5" t="s">
        <v>70</v>
      </c>
      <c r="C57" s="6">
        <v>0.5487</v>
      </c>
      <c r="D57" s="6">
        <v>0.5413</v>
      </c>
      <c r="E57" s="6">
        <v>0.5689</v>
      </c>
      <c r="F57" s="6">
        <v>0.5651</v>
      </c>
      <c r="G57" s="6">
        <v>0.5132</v>
      </c>
      <c r="H57" s="6">
        <v>0.5452</v>
      </c>
      <c r="I57" s="6">
        <v>0.4564</v>
      </c>
      <c r="J57" s="6">
        <v>0.4676</v>
      </c>
      <c r="K57" s="6">
        <v>0.4633</v>
      </c>
      <c r="L57" s="6">
        <v>0.4985</v>
      </c>
      <c r="M57" s="6">
        <f t="shared" si="0"/>
        <v>0.51682</v>
      </c>
      <c r="N57" s="6">
        <f t="shared" si="1"/>
        <v>0.0431413902830629</v>
      </c>
    </row>
    <row r="58" spans="1:14">
      <c r="A58" s="5" t="s">
        <v>14</v>
      </c>
      <c r="B58" s="5" t="s">
        <v>71</v>
      </c>
      <c r="C58" s="6">
        <v>0.4486</v>
      </c>
      <c r="D58" s="6">
        <v>0.4547</v>
      </c>
      <c r="E58" s="6">
        <v>0.4621</v>
      </c>
      <c r="F58" s="6">
        <v>0.4524</v>
      </c>
      <c r="G58" s="6">
        <v>0.4645</v>
      </c>
      <c r="H58" s="6">
        <v>0.457</v>
      </c>
      <c r="I58" s="6">
        <v>0.4545</v>
      </c>
      <c r="J58" s="6">
        <v>0.4681</v>
      </c>
      <c r="K58" s="6">
        <v>0.4743</v>
      </c>
      <c r="L58" s="6">
        <v>0.4521</v>
      </c>
      <c r="M58" s="6">
        <f t="shared" si="0"/>
        <v>0.45883</v>
      </c>
      <c r="N58" s="6">
        <f t="shared" si="1"/>
        <v>0.00815503252939898</v>
      </c>
    </row>
    <row r="59" spans="1:14">
      <c r="A59" s="5" t="s">
        <v>14</v>
      </c>
      <c r="B59" s="5" t="s">
        <v>72</v>
      </c>
      <c r="C59" s="6">
        <v>0.5588</v>
      </c>
      <c r="D59" s="6">
        <v>0.5573</v>
      </c>
      <c r="E59" s="6">
        <v>0.5584</v>
      </c>
      <c r="F59" s="6">
        <v>0.5437</v>
      </c>
      <c r="G59" s="6">
        <v>0.5014</v>
      </c>
      <c r="H59" s="6">
        <v>0.5321</v>
      </c>
      <c r="I59" s="6">
        <v>0.569</v>
      </c>
      <c r="J59" s="6">
        <v>0.5328</v>
      </c>
      <c r="K59" s="6">
        <v>0.5587</v>
      </c>
      <c r="L59" s="6">
        <v>0.5447</v>
      </c>
      <c r="M59" s="6">
        <f t="shared" si="0"/>
        <v>0.54569</v>
      </c>
      <c r="N59" s="6">
        <f t="shared" si="1"/>
        <v>0.0197152197271268</v>
      </c>
    </row>
    <row r="60" spans="1:14">
      <c r="A60" s="5" t="s">
        <v>14</v>
      </c>
      <c r="B60" s="5" t="s">
        <v>73</v>
      </c>
      <c r="C60" s="6">
        <v>0.5669</v>
      </c>
      <c r="D60" s="6">
        <v>0.5362</v>
      </c>
      <c r="E60" s="6">
        <v>0.5157</v>
      </c>
      <c r="F60" s="6">
        <v>0.5714</v>
      </c>
      <c r="G60" s="6">
        <v>0.5453</v>
      </c>
      <c r="H60" s="6">
        <v>0.5642</v>
      </c>
      <c r="I60" s="6">
        <v>0.5656</v>
      </c>
      <c r="J60" s="6">
        <v>0.5878</v>
      </c>
      <c r="K60" s="6">
        <v>0.5288</v>
      </c>
      <c r="L60" s="6">
        <v>0.5336</v>
      </c>
      <c r="M60" s="6">
        <f t="shared" si="0"/>
        <v>0.55155</v>
      </c>
      <c r="N60" s="6">
        <f t="shared" si="1"/>
        <v>0.0228541389395152</v>
      </c>
    </row>
    <row r="61" spans="1:14">
      <c r="A61" s="5" t="s">
        <v>14</v>
      </c>
      <c r="B61" s="5" t="s">
        <v>74</v>
      </c>
      <c r="C61" s="6">
        <v>0.5782</v>
      </c>
      <c r="D61" s="6">
        <v>0.6108</v>
      </c>
      <c r="E61" s="6">
        <v>0.5916</v>
      </c>
      <c r="F61" s="6">
        <v>0.6037</v>
      </c>
      <c r="G61" s="6">
        <v>0.6022</v>
      </c>
      <c r="H61" s="6">
        <v>0.4677</v>
      </c>
      <c r="I61" s="6">
        <v>0.5905</v>
      </c>
      <c r="J61" s="6">
        <v>0.6148</v>
      </c>
      <c r="K61" s="6">
        <v>0.6029</v>
      </c>
      <c r="L61" s="6">
        <v>0.5684</v>
      </c>
      <c r="M61" s="6">
        <f t="shared" si="0"/>
        <v>0.58308</v>
      </c>
      <c r="N61" s="6">
        <f t="shared" si="1"/>
        <v>0.0429956793694953</v>
      </c>
    </row>
    <row r="62" spans="1:14">
      <c r="A62" s="5" t="s">
        <v>14</v>
      </c>
      <c r="B62" s="5" t="s">
        <v>75</v>
      </c>
      <c r="C62" s="6">
        <v>0.5456</v>
      </c>
      <c r="D62" s="6">
        <v>0.5117</v>
      </c>
      <c r="E62" s="6">
        <v>0.54</v>
      </c>
      <c r="F62" s="6">
        <v>0.5016</v>
      </c>
      <c r="G62" s="6">
        <v>0.5142</v>
      </c>
      <c r="H62" s="6">
        <v>0.5124</v>
      </c>
      <c r="I62" s="6">
        <v>0.4663</v>
      </c>
      <c r="J62" s="6">
        <v>0.5231</v>
      </c>
      <c r="K62" s="6">
        <v>0.5336</v>
      </c>
      <c r="L62" s="6">
        <v>0.524</v>
      </c>
      <c r="M62" s="6">
        <f t="shared" si="0"/>
        <v>0.51725</v>
      </c>
      <c r="N62" s="6">
        <f t="shared" si="1"/>
        <v>0.0225409380658589</v>
      </c>
    </row>
    <row r="63" spans="1:14">
      <c r="A63" s="5" t="s">
        <v>14</v>
      </c>
      <c r="B63" s="5" t="s">
        <v>76</v>
      </c>
      <c r="C63" s="6">
        <v>0.5043</v>
      </c>
      <c r="D63" s="6">
        <v>0.4852</v>
      </c>
      <c r="E63" s="6">
        <v>0.4483</v>
      </c>
      <c r="F63" s="6">
        <v>0.4589</v>
      </c>
      <c r="G63" s="6">
        <v>0.4076</v>
      </c>
      <c r="H63" s="6">
        <v>0.5028</v>
      </c>
      <c r="I63" s="6">
        <v>0.5084</v>
      </c>
      <c r="J63" s="6">
        <v>0.4409</v>
      </c>
      <c r="K63" s="6">
        <v>0.4708</v>
      </c>
      <c r="L63" s="6">
        <v>0.4245</v>
      </c>
      <c r="M63" s="6">
        <f t="shared" si="0"/>
        <v>0.46517</v>
      </c>
      <c r="N63" s="6">
        <f t="shared" si="1"/>
        <v>0.0351665892574187</v>
      </c>
    </row>
    <row r="64" spans="1:14">
      <c r="A64" s="5" t="s">
        <v>14</v>
      </c>
      <c r="B64" s="5" t="s">
        <v>77</v>
      </c>
      <c r="C64" s="6">
        <v>0.3785</v>
      </c>
      <c r="D64" s="6">
        <v>0.4147</v>
      </c>
      <c r="E64" s="6">
        <v>0.4393</v>
      </c>
      <c r="F64" s="6">
        <v>0.4543</v>
      </c>
      <c r="G64" s="6">
        <v>0.3764</v>
      </c>
      <c r="H64" s="6">
        <v>0.3664</v>
      </c>
      <c r="I64" s="6">
        <v>0.343</v>
      </c>
      <c r="J64" s="6">
        <v>0.4245</v>
      </c>
      <c r="K64" s="6">
        <v>0.4599</v>
      </c>
      <c r="L64" s="6">
        <v>0.3595</v>
      </c>
      <c r="M64" s="6">
        <f t="shared" si="0"/>
        <v>0.40165</v>
      </c>
      <c r="N64" s="6">
        <f t="shared" si="1"/>
        <v>0.0420416790551683</v>
      </c>
    </row>
    <row r="65" spans="1:14">
      <c r="A65" s="5" t="s">
        <v>14</v>
      </c>
      <c r="B65" s="5" t="s">
        <v>78</v>
      </c>
      <c r="C65" s="6">
        <v>0.5031</v>
      </c>
      <c r="D65" s="6">
        <v>0.5438</v>
      </c>
      <c r="E65" s="6">
        <v>0.4931</v>
      </c>
      <c r="F65" s="6">
        <v>0.5042</v>
      </c>
      <c r="G65" s="6">
        <v>0.4999</v>
      </c>
      <c r="H65" s="6">
        <v>0.5131</v>
      </c>
      <c r="I65" s="6">
        <v>0.5387</v>
      </c>
      <c r="J65" s="6">
        <v>0.5177</v>
      </c>
      <c r="K65" s="6">
        <v>0.5237</v>
      </c>
      <c r="L65" s="6">
        <v>0.5587</v>
      </c>
      <c r="M65" s="6">
        <f t="shared" si="0"/>
        <v>0.5196</v>
      </c>
      <c r="N65" s="6">
        <f t="shared" si="1"/>
        <v>0.0214519618372462</v>
      </c>
    </row>
    <row r="66" spans="1:14">
      <c r="A66" s="5" t="s">
        <v>14</v>
      </c>
      <c r="B66" s="5" t="s">
        <v>79</v>
      </c>
      <c r="C66" s="6">
        <v>0.4505</v>
      </c>
      <c r="D66" s="6">
        <v>0.4041</v>
      </c>
      <c r="E66" s="6">
        <v>0.4484</v>
      </c>
      <c r="F66" s="6">
        <v>0.442</v>
      </c>
      <c r="G66" s="6">
        <v>0.4482</v>
      </c>
      <c r="H66" s="6">
        <v>0.4599</v>
      </c>
      <c r="I66" s="6">
        <v>0.4063</v>
      </c>
      <c r="J66" s="6">
        <v>0.4456</v>
      </c>
      <c r="K66" s="6">
        <v>0.4194</v>
      </c>
      <c r="L66" s="6">
        <v>0.4712</v>
      </c>
      <c r="M66" s="6">
        <f t="shared" ref="M66:M129" si="2">AVERAGE(C66:L66)</f>
        <v>0.43956</v>
      </c>
      <c r="N66" s="6">
        <f t="shared" ref="N66:N129" si="3">_xlfn.STDEV.S(C66:L66)</f>
        <v>0.0223601431122433</v>
      </c>
    </row>
    <row r="67" spans="1:14">
      <c r="A67" s="5" t="s">
        <v>14</v>
      </c>
      <c r="B67" s="5" t="s">
        <v>80</v>
      </c>
      <c r="C67" s="6">
        <v>0.445</v>
      </c>
      <c r="D67" s="6">
        <v>0.468</v>
      </c>
      <c r="E67" s="6">
        <v>0.3962</v>
      </c>
      <c r="F67" s="6">
        <v>0.4284</v>
      </c>
      <c r="G67" s="6">
        <v>0.4122</v>
      </c>
      <c r="H67" s="6">
        <v>0.4065</v>
      </c>
      <c r="I67" s="6">
        <v>0.4053</v>
      </c>
      <c r="J67" s="6">
        <v>0.4573</v>
      </c>
      <c r="K67" s="6">
        <v>0.4071</v>
      </c>
      <c r="L67" s="6">
        <v>0.4045</v>
      </c>
      <c r="M67" s="6">
        <f t="shared" si="2"/>
        <v>0.42305</v>
      </c>
      <c r="N67" s="6">
        <f t="shared" si="3"/>
        <v>0.0252324856748861</v>
      </c>
    </row>
    <row r="68" spans="1:14">
      <c r="A68" s="5" t="s">
        <v>14</v>
      </c>
      <c r="B68" s="5" t="s">
        <v>81</v>
      </c>
      <c r="C68" s="6">
        <v>0.5208</v>
      </c>
      <c r="D68" s="6">
        <v>0.492</v>
      </c>
      <c r="E68" s="6">
        <v>0.5042</v>
      </c>
      <c r="F68" s="6">
        <v>0.5247</v>
      </c>
      <c r="G68" s="6">
        <v>0.5063</v>
      </c>
      <c r="H68" s="6">
        <v>0.5367</v>
      </c>
      <c r="I68" s="6">
        <v>0.5293</v>
      </c>
      <c r="J68" s="6">
        <v>0.5446</v>
      </c>
      <c r="K68" s="6">
        <v>0.5183</v>
      </c>
      <c r="L68" s="6">
        <v>0.5053</v>
      </c>
      <c r="M68" s="6">
        <f t="shared" si="2"/>
        <v>0.51822</v>
      </c>
      <c r="N68" s="6">
        <f t="shared" si="3"/>
        <v>0.016336380668108</v>
      </c>
    </row>
    <row r="69" spans="1:14">
      <c r="A69" s="5" t="s">
        <v>14</v>
      </c>
      <c r="B69" s="5" t="s">
        <v>82</v>
      </c>
      <c r="C69" s="6">
        <v>0.5107</v>
      </c>
      <c r="D69" s="6">
        <v>0.5326</v>
      </c>
      <c r="E69" s="6">
        <v>0.5408</v>
      </c>
      <c r="F69" s="6">
        <v>0.5315</v>
      </c>
      <c r="G69" s="6">
        <v>0.5168</v>
      </c>
      <c r="H69" s="6">
        <v>0.5463</v>
      </c>
      <c r="I69" s="6">
        <v>0.5215</v>
      </c>
      <c r="J69" s="6">
        <v>0.5216</v>
      </c>
      <c r="K69" s="6">
        <v>0.5045</v>
      </c>
      <c r="L69" s="6">
        <v>0.496</v>
      </c>
      <c r="M69" s="6">
        <f t="shared" si="2"/>
        <v>0.52223</v>
      </c>
      <c r="N69" s="6">
        <f t="shared" si="3"/>
        <v>0.0159283151093335</v>
      </c>
    </row>
    <row r="70" spans="1:14">
      <c r="A70" s="5" t="s">
        <v>14</v>
      </c>
      <c r="B70" s="5" t="s">
        <v>83</v>
      </c>
      <c r="C70" s="6">
        <v>0.4571</v>
      </c>
      <c r="D70" s="6">
        <v>0.5096</v>
      </c>
      <c r="E70" s="6">
        <v>0.4732</v>
      </c>
      <c r="F70" s="6">
        <v>0.4676</v>
      </c>
      <c r="G70" s="6">
        <v>0.445</v>
      </c>
      <c r="H70" s="6">
        <v>0.4229</v>
      </c>
      <c r="I70" s="6">
        <v>0.4786</v>
      </c>
      <c r="J70" s="6">
        <v>0.4503</v>
      </c>
      <c r="K70" s="6">
        <v>0.4219</v>
      </c>
      <c r="L70" s="6">
        <v>0.4473</v>
      </c>
      <c r="M70" s="6">
        <f t="shared" si="2"/>
        <v>0.45735</v>
      </c>
      <c r="N70" s="6">
        <f t="shared" si="3"/>
        <v>0.0264253771128352</v>
      </c>
    </row>
    <row r="71" spans="1:14">
      <c r="A71" s="5" t="s">
        <v>14</v>
      </c>
      <c r="B71" s="5" t="s">
        <v>84</v>
      </c>
      <c r="C71" s="6">
        <v>0.539</v>
      </c>
      <c r="D71" s="6">
        <v>0.5266</v>
      </c>
      <c r="E71" s="6">
        <v>0.6236</v>
      </c>
      <c r="F71" s="6">
        <v>0.5188</v>
      </c>
      <c r="G71" s="6">
        <v>0.5606</v>
      </c>
      <c r="H71" s="6">
        <v>0.518</v>
      </c>
      <c r="I71" s="6">
        <v>0.5611</v>
      </c>
      <c r="J71" s="6">
        <v>0.5753</v>
      </c>
      <c r="K71" s="6">
        <v>0.5385</v>
      </c>
      <c r="L71" s="6">
        <v>0.5503</v>
      </c>
      <c r="M71" s="6">
        <f t="shared" si="2"/>
        <v>0.55118</v>
      </c>
      <c r="N71" s="6">
        <f t="shared" si="3"/>
        <v>0.0317578266818678</v>
      </c>
    </row>
    <row r="72" spans="1:14">
      <c r="A72" s="5" t="s">
        <v>14</v>
      </c>
      <c r="B72" s="5" t="s">
        <v>85</v>
      </c>
      <c r="C72" s="6">
        <v>0.4752</v>
      </c>
      <c r="D72" s="6">
        <v>0.5352</v>
      </c>
      <c r="E72" s="6">
        <v>0.53</v>
      </c>
      <c r="F72" s="6">
        <v>0.5168</v>
      </c>
      <c r="G72" s="6">
        <v>0.5261</v>
      </c>
      <c r="H72" s="6">
        <v>0.5295</v>
      </c>
      <c r="I72" s="6">
        <v>0.5114</v>
      </c>
      <c r="J72" s="6">
        <v>0.556</v>
      </c>
      <c r="K72" s="6">
        <v>0.5025</v>
      </c>
      <c r="L72" s="6">
        <v>0.5153</v>
      </c>
      <c r="M72" s="6">
        <f t="shared" si="2"/>
        <v>0.5198</v>
      </c>
      <c r="N72" s="6">
        <f t="shared" si="3"/>
        <v>0.0215346748808108</v>
      </c>
    </row>
    <row r="73" spans="1:14">
      <c r="A73" s="5" t="s">
        <v>14</v>
      </c>
      <c r="B73" s="5" t="s">
        <v>86</v>
      </c>
      <c r="C73" s="6">
        <v>0.5109</v>
      </c>
      <c r="D73" s="6">
        <v>0.5199</v>
      </c>
      <c r="E73" s="6">
        <v>0.5564</v>
      </c>
      <c r="F73" s="6">
        <v>0.5087</v>
      </c>
      <c r="G73" s="6">
        <v>0.5131</v>
      </c>
      <c r="H73" s="6">
        <v>0.4905</v>
      </c>
      <c r="I73" s="6">
        <v>0.5036</v>
      </c>
      <c r="J73" s="6">
        <v>0.4958</v>
      </c>
      <c r="K73" s="6">
        <v>0.4936</v>
      </c>
      <c r="L73" s="6">
        <v>0.5139</v>
      </c>
      <c r="M73" s="6">
        <f t="shared" si="2"/>
        <v>0.51064</v>
      </c>
      <c r="N73" s="6">
        <f t="shared" si="3"/>
        <v>0.0187557517104013</v>
      </c>
    </row>
    <row r="74" spans="1:14">
      <c r="A74" s="5" t="s">
        <v>14</v>
      </c>
      <c r="B74" s="5" t="s">
        <v>87</v>
      </c>
      <c r="C74" s="6">
        <v>0.5023</v>
      </c>
      <c r="D74" s="6">
        <v>0.4822</v>
      </c>
      <c r="E74" s="6">
        <v>0.4834</v>
      </c>
      <c r="F74" s="6">
        <v>0.4674</v>
      </c>
      <c r="G74" s="6">
        <v>0.4735</v>
      </c>
      <c r="H74" s="6">
        <v>0.4524</v>
      </c>
      <c r="I74" s="6">
        <v>0.4799</v>
      </c>
      <c r="J74" s="6">
        <v>0.4965</v>
      </c>
      <c r="K74" s="6">
        <v>0.468</v>
      </c>
      <c r="L74" s="6">
        <v>0.4663</v>
      </c>
      <c r="M74" s="6">
        <f t="shared" si="2"/>
        <v>0.47719</v>
      </c>
      <c r="N74" s="6">
        <f t="shared" si="3"/>
        <v>0.0149125189764245</v>
      </c>
    </row>
    <row r="75" spans="1:14">
      <c r="A75" s="5" t="s">
        <v>14</v>
      </c>
      <c r="B75" s="5" t="s">
        <v>88</v>
      </c>
      <c r="C75" s="6">
        <v>0.2517</v>
      </c>
      <c r="D75" s="6">
        <v>0.2593</v>
      </c>
      <c r="E75" s="6">
        <v>0.2682</v>
      </c>
      <c r="F75" s="6">
        <v>0.2485</v>
      </c>
      <c r="G75" s="6">
        <v>0.2533</v>
      </c>
      <c r="H75" s="6">
        <v>0.2641</v>
      </c>
      <c r="I75" s="6">
        <v>0.2579</v>
      </c>
      <c r="J75" s="6">
        <v>0.2625</v>
      </c>
      <c r="K75" s="6">
        <v>0.2638</v>
      </c>
      <c r="L75" s="6">
        <v>0.2517</v>
      </c>
      <c r="M75" s="6">
        <f t="shared" si="2"/>
        <v>0.2581</v>
      </c>
      <c r="N75" s="6">
        <f t="shared" si="3"/>
        <v>0.0065697962085762</v>
      </c>
    </row>
    <row r="76" spans="1:14">
      <c r="A76" s="5" t="s">
        <v>14</v>
      </c>
      <c r="B76" s="5" t="s">
        <v>89</v>
      </c>
      <c r="C76" s="6">
        <v>0.5307</v>
      </c>
      <c r="D76" s="6">
        <v>0.5805</v>
      </c>
      <c r="E76" s="6">
        <v>0.516</v>
      </c>
      <c r="F76" s="6">
        <v>0.5506</v>
      </c>
      <c r="G76" s="6">
        <v>0.6053</v>
      </c>
      <c r="H76" s="6">
        <v>0.6013</v>
      </c>
      <c r="I76" s="6">
        <v>0.5907</v>
      </c>
      <c r="J76" s="6">
        <v>0.4846</v>
      </c>
      <c r="K76" s="6">
        <v>0.6041</v>
      </c>
      <c r="L76" s="6">
        <v>0.5959</v>
      </c>
      <c r="M76" s="6">
        <f t="shared" si="2"/>
        <v>0.56597</v>
      </c>
      <c r="N76" s="6">
        <f t="shared" si="3"/>
        <v>0.0429026559654398</v>
      </c>
    </row>
    <row r="77" spans="1:14">
      <c r="A77" s="5" t="s">
        <v>14</v>
      </c>
      <c r="B77" s="5" t="s">
        <v>90</v>
      </c>
      <c r="C77" s="6">
        <v>0.5628</v>
      </c>
      <c r="D77" s="6">
        <v>0.4765</v>
      </c>
      <c r="E77" s="6">
        <v>0.507</v>
      </c>
      <c r="F77" s="6">
        <v>0.4165</v>
      </c>
      <c r="G77" s="6">
        <v>0.4646</v>
      </c>
      <c r="H77" s="6">
        <v>0.4238</v>
      </c>
      <c r="I77" s="6">
        <v>0.4759</v>
      </c>
      <c r="J77" s="6">
        <v>0.4984</v>
      </c>
      <c r="K77" s="6">
        <v>0.465</v>
      </c>
      <c r="L77" s="6">
        <v>0.4397</v>
      </c>
      <c r="M77" s="6">
        <f t="shared" si="2"/>
        <v>0.47302</v>
      </c>
      <c r="N77" s="6">
        <f t="shared" si="3"/>
        <v>0.0431305460201932</v>
      </c>
    </row>
    <row r="78" spans="1:14">
      <c r="A78" s="5" t="s">
        <v>14</v>
      </c>
      <c r="B78" s="5" t="s">
        <v>91</v>
      </c>
      <c r="C78" s="6">
        <v>0.4612</v>
      </c>
      <c r="D78" s="6">
        <v>0.4438</v>
      </c>
      <c r="E78" s="6">
        <v>0.4613</v>
      </c>
      <c r="F78" s="6">
        <v>0.4932</v>
      </c>
      <c r="G78" s="6">
        <v>0.4496</v>
      </c>
      <c r="H78" s="6">
        <v>0.5037</v>
      </c>
      <c r="I78" s="6">
        <v>0.452</v>
      </c>
      <c r="J78" s="6">
        <v>0.4293</v>
      </c>
      <c r="K78" s="6">
        <v>0.406</v>
      </c>
      <c r="L78" s="6">
        <v>0.461</v>
      </c>
      <c r="M78" s="6">
        <f t="shared" si="2"/>
        <v>0.45611</v>
      </c>
      <c r="N78" s="6">
        <f t="shared" si="3"/>
        <v>0.028201317936106</v>
      </c>
    </row>
    <row r="79" spans="1:14">
      <c r="A79" s="5" t="s">
        <v>14</v>
      </c>
      <c r="B79" s="5" t="s">
        <v>92</v>
      </c>
      <c r="C79" s="6">
        <v>0.5058</v>
      </c>
      <c r="D79" s="6">
        <v>0.5397</v>
      </c>
      <c r="E79" s="6">
        <v>0.4959</v>
      </c>
      <c r="F79" s="6">
        <v>0.5025</v>
      </c>
      <c r="G79" s="6">
        <v>0.5202</v>
      </c>
      <c r="H79" s="6">
        <v>0.5452</v>
      </c>
      <c r="I79" s="6">
        <v>0.5127</v>
      </c>
      <c r="J79" s="6">
        <v>0.5193</v>
      </c>
      <c r="K79" s="6">
        <v>0.4927</v>
      </c>
      <c r="L79" s="6">
        <v>0.487</v>
      </c>
      <c r="M79" s="6">
        <f t="shared" si="2"/>
        <v>0.5121</v>
      </c>
      <c r="N79" s="6">
        <f t="shared" si="3"/>
        <v>0.0193673264374134</v>
      </c>
    </row>
    <row r="80" spans="1:14">
      <c r="A80" s="5" t="s">
        <v>14</v>
      </c>
      <c r="B80" s="5" t="s">
        <v>93</v>
      </c>
      <c r="C80" s="6">
        <v>0.522</v>
      </c>
      <c r="D80" s="6">
        <v>0.4866</v>
      </c>
      <c r="E80" s="6">
        <v>0.5439</v>
      </c>
      <c r="F80" s="6">
        <v>0.5326</v>
      </c>
      <c r="G80" s="6">
        <v>0.5295</v>
      </c>
      <c r="H80" s="6">
        <v>0.5188</v>
      </c>
      <c r="I80" s="6">
        <v>0.515</v>
      </c>
      <c r="J80" s="6">
        <v>0.4658</v>
      </c>
      <c r="K80" s="6">
        <v>0.5143</v>
      </c>
      <c r="L80" s="6">
        <v>0.5119</v>
      </c>
      <c r="M80" s="6">
        <f t="shared" si="2"/>
        <v>0.51404</v>
      </c>
      <c r="N80" s="6">
        <f t="shared" si="3"/>
        <v>0.0227223433846267</v>
      </c>
    </row>
    <row r="81" spans="1:14">
      <c r="A81" s="5" t="s">
        <v>14</v>
      </c>
      <c r="B81" s="5" t="s">
        <v>94</v>
      </c>
      <c r="C81" s="6">
        <v>0.4342</v>
      </c>
      <c r="D81" s="6">
        <v>0.4427</v>
      </c>
      <c r="E81" s="6">
        <v>0.4353</v>
      </c>
      <c r="F81" s="6">
        <v>0.3834</v>
      </c>
      <c r="G81" s="6">
        <v>0.4162</v>
      </c>
      <c r="H81" s="6">
        <v>0.4604</v>
      </c>
      <c r="I81" s="6">
        <v>0.4294</v>
      </c>
      <c r="J81" s="6">
        <v>0.4355</v>
      </c>
      <c r="K81" s="6">
        <v>0.4391</v>
      </c>
      <c r="L81" s="6">
        <v>0.439</v>
      </c>
      <c r="M81" s="6">
        <f t="shared" si="2"/>
        <v>0.43152</v>
      </c>
      <c r="N81" s="6">
        <f t="shared" si="3"/>
        <v>0.0201783602461206</v>
      </c>
    </row>
    <row r="82" spans="1:14">
      <c r="A82" s="5" t="s">
        <v>14</v>
      </c>
      <c r="B82" s="5" t="s">
        <v>95</v>
      </c>
      <c r="C82" s="6">
        <v>0.4954</v>
      </c>
      <c r="D82" s="6">
        <v>0.5018</v>
      </c>
      <c r="E82" s="6">
        <v>0.5349</v>
      </c>
      <c r="F82" s="6">
        <v>0.5239</v>
      </c>
      <c r="G82" s="6">
        <v>0.5137</v>
      </c>
      <c r="H82" s="6">
        <v>0.5097</v>
      </c>
      <c r="I82" s="6">
        <v>0.5334</v>
      </c>
      <c r="J82" s="6">
        <v>0.4968</v>
      </c>
      <c r="K82" s="6">
        <v>0.4821</v>
      </c>
      <c r="L82" s="6">
        <v>0.4952</v>
      </c>
      <c r="M82" s="6">
        <f t="shared" si="2"/>
        <v>0.50869</v>
      </c>
      <c r="N82" s="6">
        <f t="shared" si="3"/>
        <v>0.017668204335598</v>
      </c>
    </row>
    <row r="83" spans="1:14">
      <c r="A83" s="5" t="s">
        <v>14</v>
      </c>
      <c r="B83" s="5" t="s">
        <v>96</v>
      </c>
      <c r="C83" s="6">
        <v>0.2591</v>
      </c>
      <c r="D83" s="6">
        <v>0.273</v>
      </c>
      <c r="E83" s="6">
        <v>0.2591</v>
      </c>
      <c r="F83" s="6">
        <v>0.2585</v>
      </c>
      <c r="G83" s="6">
        <v>0.2595</v>
      </c>
      <c r="H83" s="6">
        <v>0.2694</v>
      </c>
      <c r="I83" s="6">
        <v>0.2665</v>
      </c>
      <c r="J83" s="6">
        <v>0.2488</v>
      </c>
      <c r="K83" s="6">
        <v>0.2555</v>
      </c>
      <c r="L83" s="6">
        <v>0.2631</v>
      </c>
      <c r="M83" s="6">
        <f t="shared" si="2"/>
        <v>0.26125</v>
      </c>
      <c r="N83" s="6">
        <f t="shared" si="3"/>
        <v>0.00701906134908524</v>
      </c>
    </row>
    <row r="84" spans="1:14">
      <c r="A84" s="5" t="s">
        <v>14</v>
      </c>
      <c r="B84" s="5" t="s">
        <v>97</v>
      </c>
      <c r="C84" s="6">
        <v>0.513</v>
      </c>
      <c r="D84" s="6">
        <v>0.4567</v>
      </c>
      <c r="E84" s="6">
        <v>0.5005</v>
      </c>
      <c r="F84" s="6">
        <v>0.5267</v>
      </c>
      <c r="G84" s="6">
        <v>0.5323</v>
      </c>
      <c r="H84" s="6">
        <v>0.4792</v>
      </c>
      <c r="I84" s="6">
        <v>0.5086</v>
      </c>
      <c r="J84" s="6">
        <v>0.5158</v>
      </c>
      <c r="K84" s="6">
        <v>0.5373</v>
      </c>
      <c r="L84" s="6">
        <v>0.5119</v>
      </c>
      <c r="M84" s="6">
        <f t="shared" si="2"/>
        <v>0.5082</v>
      </c>
      <c r="N84" s="6">
        <f t="shared" si="3"/>
        <v>0.0245335597815636</v>
      </c>
    </row>
    <row r="85" spans="1:14">
      <c r="A85" s="5" t="s">
        <v>14</v>
      </c>
      <c r="B85" s="5" t="s">
        <v>98</v>
      </c>
      <c r="C85" s="6">
        <v>0.4021</v>
      </c>
      <c r="D85" s="6">
        <v>0.4729</v>
      </c>
      <c r="E85" s="6">
        <v>0.4151</v>
      </c>
      <c r="F85" s="6">
        <v>0.4483</v>
      </c>
      <c r="G85" s="6">
        <v>0.4599</v>
      </c>
      <c r="H85" s="6">
        <v>0.4106</v>
      </c>
      <c r="I85" s="6">
        <v>0.4528</v>
      </c>
      <c r="J85" s="6">
        <v>0.4336</v>
      </c>
      <c r="K85" s="6">
        <v>0.4048</v>
      </c>
      <c r="L85" s="6">
        <v>0.4198</v>
      </c>
      <c r="M85" s="6">
        <f t="shared" si="2"/>
        <v>0.43199</v>
      </c>
      <c r="N85" s="6">
        <f t="shared" si="3"/>
        <v>0.0251183177957619</v>
      </c>
    </row>
    <row r="86" spans="1:14">
      <c r="A86" s="5" t="s">
        <v>14</v>
      </c>
      <c r="B86" s="5" t="s">
        <v>99</v>
      </c>
      <c r="C86" s="6">
        <v>0.4651</v>
      </c>
      <c r="D86" s="6">
        <v>0.5038</v>
      </c>
      <c r="E86" s="6">
        <v>0.4932</v>
      </c>
      <c r="F86" s="6">
        <v>0.4929</v>
      </c>
      <c r="G86" s="6">
        <v>0.4134</v>
      </c>
      <c r="H86" s="6">
        <v>0.4622</v>
      </c>
      <c r="I86" s="6">
        <v>0.4092</v>
      </c>
      <c r="J86" s="6">
        <v>0.4739</v>
      </c>
      <c r="K86" s="6">
        <v>0.4612</v>
      </c>
      <c r="L86" s="6">
        <v>0.4151</v>
      </c>
      <c r="M86" s="6">
        <f t="shared" si="2"/>
        <v>0.459</v>
      </c>
      <c r="N86" s="6">
        <f t="shared" si="3"/>
        <v>0.0350979581552356</v>
      </c>
    </row>
    <row r="87" spans="1:14">
      <c r="A87" s="5" t="s">
        <v>14</v>
      </c>
      <c r="B87" s="5" t="s">
        <v>100</v>
      </c>
      <c r="C87" s="6">
        <v>0.4432</v>
      </c>
      <c r="D87" s="6">
        <v>0.4344</v>
      </c>
      <c r="E87" s="6">
        <v>0.4262</v>
      </c>
      <c r="F87" s="6">
        <v>0.4456</v>
      </c>
      <c r="G87" s="6">
        <v>0.4161</v>
      </c>
      <c r="H87" s="6">
        <v>0.4102</v>
      </c>
      <c r="I87" s="6">
        <v>0.4435</v>
      </c>
      <c r="J87" s="6">
        <v>0.4207</v>
      </c>
      <c r="K87" s="6">
        <v>0.4351</v>
      </c>
      <c r="L87" s="6">
        <v>0.4173</v>
      </c>
      <c r="M87" s="6">
        <f t="shared" si="2"/>
        <v>0.42923</v>
      </c>
      <c r="N87" s="6">
        <f t="shared" si="3"/>
        <v>0.0128528466367053</v>
      </c>
    </row>
    <row r="88" spans="1:14">
      <c r="A88" s="5" t="s">
        <v>14</v>
      </c>
      <c r="B88" s="5" t="s">
        <v>101</v>
      </c>
      <c r="C88" s="6">
        <v>0.4643</v>
      </c>
      <c r="D88" s="6">
        <v>0.507</v>
      </c>
      <c r="E88" s="6">
        <v>0.5174</v>
      </c>
      <c r="F88" s="6">
        <v>0.5009</v>
      </c>
      <c r="G88" s="6">
        <v>0.4844</v>
      </c>
      <c r="H88" s="6">
        <v>0.5324</v>
      </c>
      <c r="I88" s="6">
        <v>0.4949</v>
      </c>
      <c r="J88" s="6">
        <v>0.483</v>
      </c>
      <c r="K88" s="6">
        <v>0.4787</v>
      </c>
      <c r="L88" s="6">
        <v>0.4772</v>
      </c>
      <c r="M88" s="6">
        <f t="shared" si="2"/>
        <v>0.49402</v>
      </c>
      <c r="N88" s="6">
        <f t="shared" si="3"/>
        <v>0.0206857868542093</v>
      </c>
    </row>
    <row r="89" spans="1:14">
      <c r="A89" s="5" t="s">
        <v>14</v>
      </c>
      <c r="B89" s="5" t="s">
        <v>102</v>
      </c>
      <c r="C89" s="6">
        <v>0.5955</v>
      </c>
      <c r="D89" s="6">
        <v>0.584</v>
      </c>
      <c r="E89" s="6">
        <v>0.5944</v>
      </c>
      <c r="F89" s="6">
        <v>0.5666</v>
      </c>
      <c r="G89" s="6">
        <v>0.5892</v>
      </c>
      <c r="H89" s="6">
        <v>0.5956</v>
      </c>
      <c r="I89" s="6">
        <v>0.5412</v>
      </c>
      <c r="J89" s="6">
        <v>0.5931</v>
      </c>
      <c r="K89" s="6">
        <v>0.5823</v>
      </c>
      <c r="L89" s="6">
        <v>0.5924</v>
      </c>
      <c r="M89" s="6">
        <f t="shared" si="2"/>
        <v>0.58343</v>
      </c>
      <c r="N89" s="6">
        <f t="shared" si="3"/>
        <v>0.0172871853630884</v>
      </c>
    </row>
    <row r="90" spans="1:14">
      <c r="A90" s="5" t="s">
        <v>14</v>
      </c>
      <c r="B90" s="5" t="s">
        <v>103</v>
      </c>
      <c r="C90" s="6">
        <v>0.4534</v>
      </c>
      <c r="D90" s="6">
        <v>0.4671</v>
      </c>
      <c r="E90" s="6">
        <v>0.467</v>
      </c>
      <c r="F90" s="6">
        <v>0.4819</v>
      </c>
      <c r="G90" s="6">
        <v>0.4559</v>
      </c>
      <c r="H90" s="6">
        <v>0.4524</v>
      </c>
      <c r="I90" s="6">
        <v>0.4693</v>
      </c>
      <c r="J90" s="6">
        <v>0.4458</v>
      </c>
      <c r="K90" s="6">
        <v>0.4695</v>
      </c>
      <c r="L90" s="6">
        <v>0.4639</v>
      </c>
      <c r="M90" s="6">
        <f t="shared" si="2"/>
        <v>0.46262</v>
      </c>
      <c r="N90" s="6">
        <f t="shared" si="3"/>
        <v>0.0106567453860089</v>
      </c>
    </row>
    <row r="91" spans="1:14">
      <c r="A91" s="5" t="s">
        <v>14</v>
      </c>
      <c r="B91" s="5" t="s">
        <v>104</v>
      </c>
      <c r="C91" s="6">
        <v>0.5365</v>
      </c>
      <c r="D91" s="6">
        <v>0.5203</v>
      </c>
      <c r="E91" s="6">
        <v>0.5256</v>
      </c>
      <c r="F91" s="6">
        <v>0.5475</v>
      </c>
      <c r="G91" s="6">
        <v>0.5252</v>
      </c>
      <c r="H91" s="6">
        <v>0.5478</v>
      </c>
      <c r="I91" s="6">
        <v>0.5295</v>
      </c>
      <c r="J91" s="6">
        <v>0.5291</v>
      </c>
      <c r="K91" s="6">
        <v>0.562</v>
      </c>
      <c r="L91" s="6">
        <v>0.5266</v>
      </c>
      <c r="M91" s="6">
        <f t="shared" si="2"/>
        <v>0.53501</v>
      </c>
      <c r="N91" s="6">
        <f t="shared" si="3"/>
        <v>0.0132809345387372</v>
      </c>
    </row>
    <row r="92" spans="1:14">
      <c r="A92" s="5" t="s">
        <v>14</v>
      </c>
      <c r="B92" s="5" t="s">
        <v>105</v>
      </c>
      <c r="C92" s="6">
        <v>0.389</v>
      </c>
      <c r="D92" s="6">
        <v>0.4489</v>
      </c>
      <c r="E92" s="6">
        <v>0.4578</v>
      </c>
      <c r="F92" s="6">
        <v>0.3908</v>
      </c>
      <c r="G92" s="6">
        <v>0.381</v>
      </c>
      <c r="H92" s="6">
        <v>0.3803</v>
      </c>
      <c r="I92" s="6">
        <v>0.4184</v>
      </c>
      <c r="J92" s="6">
        <v>0.4499</v>
      </c>
      <c r="K92" s="6">
        <v>0.452</v>
      </c>
      <c r="L92" s="6">
        <v>0.4278</v>
      </c>
      <c r="M92" s="6">
        <f t="shared" si="2"/>
        <v>0.41959</v>
      </c>
      <c r="N92" s="6">
        <f t="shared" si="3"/>
        <v>0.031893066122069</v>
      </c>
    </row>
    <row r="93" spans="1:14">
      <c r="A93" s="5" t="s">
        <v>14</v>
      </c>
      <c r="B93" s="5" t="s">
        <v>106</v>
      </c>
      <c r="C93" s="6">
        <v>0.4263</v>
      </c>
      <c r="D93" s="6">
        <v>0.427</v>
      </c>
      <c r="E93" s="6">
        <v>0.3883</v>
      </c>
      <c r="F93" s="6">
        <v>0.4302</v>
      </c>
      <c r="G93" s="6">
        <v>0.4257</v>
      </c>
      <c r="H93" s="6">
        <v>0.4076</v>
      </c>
      <c r="I93" s="6">
        <v>0.3838</v>
      </c>
      <c r="J93" s="6">
        <v>0.4078</v>
      </c>
      <c r="K93" s="6">
        <v>0.4232</v>
      </c>
      <c r="L93" s="6">
        <v>0.4665</v>
      </c>
      <c r="M93" s="6">
        <f t="shared" si="2"/>
        <v>0.41864</v>
      </c>
      <c r="N93" s="6">
        <f t="shared" si="3"/>
        <v>0.0235634934214395</v>
      </c>
    </row>
    <row r="94" spans="1:14">
      <c r="A94" s="5" t="s">
        <v>14</v>
      </c>
      <c r="B94" s="5" t="s">
        <v>107</v>
      </c>
      <c r="C94" s="6">
        <v>0.5344</v>
      </c>
      <c r="D94" s="6">
        <v>0.5183</v>
      </c>
      <c r="E94" s="6">
        <v>0.5276</v>
      </c>
      <c r="F94" s="6">
        <v>0.527</v>
      </c>
      <c r="G94" s="6">
        <v>0.4983</v>
      </c>
      <c r="H94" s="6">
        <v>0.5169</v>
      </c>
      <c r="I94" s="6">
        <v>0.4991</v>
      </c>
      <c r="J94" s="6">
        <v>0.5245</v>
      </c>
      <c r="K94" s="6">
        <v>0.53</v>
      </c>
      <c r="L94" s="6">
        <v>0.514</v>
      </c>
      <c r="M94" s="6">
        <f t="shared" si="2"/>
        <v>0.51901</v>
      </c>
      <c r="N94" s="6">
        <f t="shared" si="3"/>
        <v>0.0123862333975175</v>
      </c>
    </row>
    <row r="95" spans="1:14">
      <c r="A95" s="5" t="s">
        <v>14</v>
      </c>
      <c r="B95" s="5" t="s">
        <v>108</v>
      </c>
      <c r="C95" s="6">
        <v>0.5741</v>
      </c>
      <c r="D95" s="6">
        <v>0.5641</v>
      </c>
      <c r="E95" s="6">
        <v>0.5607</v>
      </c>
      <c r="F95" s="6">
        <v>0.5689</v>
      </c>
      <c r="G95" s="6">
        <v>0.5426</v>
      </c>
      <c r="H95" s="6">
        <v>0.5598</v>
      </c>
      <c r="I95" s="6">
        <v>0.5685</v>
      </c>
      <c r="J95" s="6">
        <v>0.5565</v>
      </c>
      <c r="K95" s="6">
        <v>0.553</v>
      </c>
      <c r="L95" s="6">
        <v>0.5272</v>
      </c>
      <c r="M95" s="6">
        <f t="shared" si="2"/>
        <v>0.55754</v>
      </c>
      <c r="N95" s="6">
        <f t="shared" si="3"/>
        <v>0.0139321530600582</v>
      </c>
    </row>
    <row r="96" spans="1:14">
      <c r="A96" s="5" t="s">
        <v>14</v>
      </c>
      <c r="B96" s="5" t="s">
        <v>109</v>
      </c>
      <c r="C96" s="6">
        <v>0.4665</v>
      </c>
      <c r="D96" s="6">
        <v>0.4349</v>
      </c>
      <c r="E96" s="6">
        <v>0.3821</v>
      </c>
      <c r="F96" s="6">
        <v>0.3894</v>
      </c>
      <c r="G96" s="6">
        <v>0.4075</v>
      </c>
      <c r="H96" s="6">
        <v>0.4453</v>
      </c>
      <c r="I96" s="6">
        <v>0.4768</v>
      </c>
      <c r="J96" s="6">
        <v>0.4099</v>
      </c>
      <c r="K96" s="6">
        <v>0.3542</v>
      </c>
      <c r="L96" s="6">
        <v>0.456</v>
      </c>
      <c r="M96" s="6">
        <f t="shared" si="2"/>
        <v>0.42226</v>
      </c>
      <c r="N96" s="6">
        <f t="shared" si="3"/>
        <v>0.040077957366446</v>
      </c>
    </row>
    <row r="97" spans="1:14">
      <c r="A97" s="5" t="s">
        <v>14</v>
      </c>
      <c r="B97" s="5" t="s">
        <v>110</v>
      </c>
      <c r="C97" s="6">
        <v>0.4937</v>
      </c>
      <c r="D97" s="6">
        <v>0.3973</v>
      </c>
      <c r="E97" s="6">
        <v>0.4974</v>
      </c>
      <c r="F97" s="6">
        <v>0.4602</v>
      </c>
      <c r="G97" s="6">
        <v>0.4877</v>
      </c>
      <c r="H97" s="6">
        <v>0.5195</v>
      </c>
      <c r="I97" s="6">
        <v>0.5019</v>
      </c>
      <c r="J97" s="6">
        <v>0.5394</v>
      </c>
      <c r="K97" s="6">
        <v>0.5205</v>
      </c>
      <c r="L97" s="6">
        <v>0.5059</v>
      </c>
      <c r="M97" s="6">
        <f t="shared" si="2"/>
        <v>0.49235</v>
      </c>
      <c r="N97" s="6">
        <f t="shared" si="3"/>
        <v>0.0396304106015121</v>
      </c>
    </row>
    <row r="98" spans="1:14">
      <c r="A98" s="5" t="s">
        <v>14</v>
      </c>
      <c r="B98" s="5" t="s">
        <v>111</v>
      </c>
      <c r="C98" s="6">
        <v>0.5107</v>
      </c>
      <c r="D98" s="6">
        <v>0.5354</v>
      </c>
      <c r="E98" s="6">
        <v>0.4955</v>
      </c>
      <c r="F98" s="6">
        <v>0.4852</v>
      </c>
      <c r="G98" s="6">
        <v>0.5117</v>
      </c>
      <c r="H98" s="6">
        <v>0.5001</v>
      </c>
      <c r="I98" s="6">
        <v>0.5008</v>
      </c>
      <c r="J98" s="6">
        <v>0.5181</v>
      </c>
      <c r="K98" s="6">
        <v>0.5187</v>
      </c>
      <c r="L98" s="6">
        <v>0.448</v>
      </c>
      <c r="M98" s="6">
        <f t="shared" si="2"/>
        <v>0.50242</v>
      </c>
      <c r="N98" s="6">
        <f t="shared" si="3"/>
        <v>0.023728126769722</v>
      </c>
    </row>
    <row r="99" spans="1:14">
      <c r="A99" s="5" t="s">
        <v>14</v>
      </c>
      <c r="B99" s="5" t="s">
        <v>112</v>
      </c>
      <c r="C99" s="6">
        <v>0.64</v>
      </c>
      <c r="D99" s="6">
        <v>0.622</v>
      </c>
      <c r="E99" s="6">
        <v>0.6273</v>
      </c>
      <c r="F99" s="6">
        <v>0.6592</v>
      </c>
      <c r="G99" s="6">
        <v>0.5513</v>
      </c>
      <c r="H99" s="6">
        <v>0.6152</v>
      </c>
      <c r="I99" s="6">
        <v>0.6452</v>
      </c>
      <c r="J99" s="6">
        <v>0.6549</v>
      </c>
      <c r="K99" s="6">
        <v>0.6318</v>
      </c>
      <c r="L99" s="6">
        <v>0.6733</v>
      </c>
      <c r="M99" s="6">
        <f t="shared" si="2"/>
        <v>0.63202</v>
      </c>
      <c r="N99" s="6">
        <f t="shared" si="3"/>
        <v>0.0335410792909232</v>
      </c>
    </row>
    <row r="100" spans="1:14">
      <c r="A100" s="5" t="s">
        <v>14</v>
      </c>
      <c r="B100" s="5" t="s">
        <v>113</v>
      </c>
      <c r="C100" s="6">
        <v>0.4343</v>
      </c>
      <c r="D100" s="6">
        <v>0.4831</v>
      </c>
      <c r="E100" s="6">
        <v>0.4678</v>
      </c>
      <c r="F100" s="6">
        <v>0.431</v>
      </c>
      <c r="G100" s="6">
        <v>0.4611</v>
      </c>
      <c r="H100" s="6">
        <v>0.4308</v>
      </c>
      <c r="I100" s="6">
        <v>0.476</v>
      </c>
      <c r="J100" s="6">
        <v>0.4929</v>
      </c>
      <c r="K100" s="6">
        <v>0.4486</v>
      </c>
      <c r="L100" s="6">
        <v>0.4742</v>
      </c>
      <c r="M100" s="6">
        <f t="shared" si="2"/>
        <v>0.45998</v>
      </c>
      <c r="N100" s="6">
        <f t="shared" si="3"/>
        <v>0.0226563604020299</v>
      </c>
    </row>
    <row r="101" spans="1:14">
      <c r="A101" s="5" t="s">
        <v>14</v>
      </c>
      <c r="B101" s="5" t="s">
        <v>114</v>
      </c>
      <c r="C101" s="6">
        <v>0.5599</v>
      </c>
      <c r="D101" s="6">
        <v>0.5248</v>
      </c>
      <c r="E101" s="6">
        <v>0.5375</v>
      </c>
      <c r="F101" s="6">
        <v>0.5281</v>
      </c>
      <c r="G101" s="6">
        <v>0.4891</v>
      </c>
      <c r="H101" s="6">
        <v>0.4734</v>
      </c>
      <c r="I101" s="6">
        <v>0.5445</v>
      </c>
      <c r="J101" s="6">
        <v>0.5391</v>
      </c>
      <c r="K101" s="6">
        <v>0.5334</v>
      </c>
      <c r="L101" s="6">
        <v>0.5027</v>
      </c>
      <c r="M101" s="6">
        <f t="shared" si="2"/>
        <v>0.52325</v>
      </c>
      <c r="N101" s="6">
        <f t="shared" si="3"/>
        <v>0.0267738782315068</v>
      </c>
    </row>
    <row r="102" spans="1:14">
      <c r="A102" s="5" t="s">
        <v>115</v>
      </c>
      <c r="B102" s="5" t="s">
        <v>116</v>
      </c>
      <c r="C102" s="6">
        <v>0.6255</v>
      </c>
      <c r="D102" s="6">
        <v>0.6121</v>
      </c>
      <c r="E102" s="6">
        <v>0.5939</v>
      </c>
      <c r="F102" s="6">
        <v>0.5955</v>
      </c>
      <c r="G102" s="6">
        <v>0.5786</v>
      </c>
      <c r="H102" s="6">
        <v>0.6055</v>
      </c>
      <c r="I102" s="6">
        <v>0.5829</v>
      </c>
      <c r="J102" s="6">
        <v>0.5912</v>
      </c>
      <c r="K102" s="6">
        <v>0.6092</v>
      </c>
      <c r="L102" s="6">
        <v>0.5805</v>
      </c>
      <c r="M102" s="6">
        <f t="shared" si="2"/>
        <v>0.59749</v>
      </c>
      <c r="N102" s="6">
        <f t="shared" si="3"/>
        <v>0.0153263353596206</v>
      </c>
    </row>
    <row r="103" spans="1:14">
      <c r="A103" s="5" t="s">
        <v>115</v>
      </c>
      <c r="B103" s="5" t="s">
        <v>117</v>
      </c>
      <c r="C103" s="6">
        <v>0.6515</v>
      </c>
      <c r="D103" s="6">
        <v>0.6329</v>
      </c>
      <c r="E103" s="6">
        <v>0.6477</v>
      </c>
      <c r="F103" s="6">
        <v>0.6392</v>
      </c>
      <c r="G103" s="6">
        <v>0.6447</v>
      </c>
      <c r="H103" s="6">
        <v>0.6517</v>
      </c>
      <c r="I103" s="6">
        <v>0.6582</v>
      </c>
      <c r="J103" s="6">
        <v>0.6356</v>
      </c>
      <c r="K103" s="6">
        <v>0.6487</v>
      </c>
      <c r="L103" s="6">
        <v>0.6569</v>
      </c>
      <c r="M103" s="6">
        <f t="shared" si="2"/>
        <v>0.64671</v>
      </c>
      <c r="N103" s="6">
        <f t="shared" si="3"/>
        <v>0.00858441093559197</v>
      </c>
    </row>
    <row r="104" spans="1:14">
      <c r="A104" s="5" t="s">
        <v>115</v>
      </c>
      <c r="B104" s="5" t="s">
        <v>118</v>
      </c>
      <c r="C104" s="6">
        <v>0.6433</v>
      </c>
      <c r="D104" s="6">
        <v>0.6489</v>
      </c>
      <c r="E104" s="6">
        <v>0.6561</v>
      </c>
      <c r="F104" s="6">
        <v>0.6563</v>
      </c>
      <c r="G104" s="6">
        <v>0.6463</v>
      </c>
      <c r="H104" s="6">
        <v>0.6366</v>
      </c>
      <c r="I104" s="6">
        <v>0.6437</v>
      </c>
      <c r="J104" s="6">
        <v>0.6464</v>
      </c>
      <c r="K104" s="6">
        <v>0.6615</v>
      </c>
      <c r="L104" s="6">
        <v>0.655</v>
      </c>
      <c r="M104" s="6">
        <f t="shared" si="2"/>
        <v>0.64941</v>
      </c>
      <c r="N104" s="6">
        <f t="shared" si="3"/>
        <v>0.00762065176565188</v>
      </c>
    </row>
    <row r="105" spans="1:14">
      <c r="A105" s="5" t="s">
        <v>115</v>
      </c>
      <c r="B105" s="5" t="s">
        <v>119</v>
      </c>
      <c r="C105" s="6">
        <v>0.6344</v>
      </c>
      <c r="D105" s="6">
        <v>0.5978</v>
      </c>
      <c r="E105" s="6">
        <v>0.6121</v>
      </c>
      <c r="F105" s="6">
        <v>0.6279</v>
      </c>
      <c r="G105" s="6">
        <v>0.5851</v>
      </c>
      <c r="H105" s="6">
        <v>0.5939</v>
      </c>
      <c r="I105" s="6">
        <v>0.6042</v>
      </c>
      <c r="J105" s="6">
        <v>0.6023</v>
      </c>
      <c r="K105" s="6">
        <v>0.587</v>
      </c>
      <c r="L105" s="6">
        <v>0.6036</v>
      </c>
      <c r="M105" s="6">
        <f t="shared" si="2"/>
        <v>0.60483</v>
      </c>
      <c r="N105" s="6">
        <f t="shared" si="3"/>
        <v>0.0161377438874763</v>
      </c>
    </row>
    <row r="106" spans="1:14">
      <c r="A106" s="5" t="s">
        <v>115</v>
      </c>
      <c r="B106" s="5" t="s">
        <v>120</v>
      </c>
      <c r="C106" s="6">
        <v>0.6041</v>
      </c>
      <c r="D106" s="6">
        <v>0.6404</v>
      </c>
      <c r="E106" s="6">
        <v>0.6708</v>
      </c>
      <c r="F106" s="6">
        <v>0.5936</v>
      </c>
      <c r="G106" s="6">
        <v>0.6308</v>
      </c>
      <c r="H106" s="6">
        <v>0.6198</v>
      </c>
      <c r="I106" s="6">
        <v>0.6706</v>
      </c>
      <c r="J106" s="6">
        <v>0.6482</v>
      </c>
      <c r="K106" s="6">
        <v>0.6314</v>
      </c>
      <c r="L106" s="6">
        <v>0.6322</v>
      </c>
      <c r="M106" s="6">
        <f t="shared" si="2"/>
        <v>0.63419</v>
      </c>
      <c r="N106" s="6">
        <f t="shared" si="3"/>
        <v>0.025130965847823</v>
      </c>
    </row>
    <row r="107" spans="1:14">
      <c r="A107" s="5" t="s">
        <v>115</v>
      </c>
      <c r="B107" s="5" t="s">
        <v>121</v>
      </c>
      <c r="C107" s="6">
        <v>0.6486</v>
      </c>
      <c r="D107" s="6">
        <v>0.6525</v>
      </c>
      <c r="E107" s="6">
        <v>0.6349</v>
      </c>
      <c r="F107" s="6">
        <v>0.6468</v>
      </c>
      <c r="G107" s="6">
        <v>0.6501</v>
      </c>
      <c r="H107" s="6">
        <v>0.6469</v>
      </c>
      <c r="I107" s="6">
        <v>0.6484</v>
      </c>
      <c r="J107" s="6">
        <v>0.648</v>
      </c>
      <c r="K107" s="6">
        <v>0.6415</v>
      </c>
      <c r="L107" s="6">
        <v>0.6499</v>
      </c>
      <c r="M107" s="6">
        <f t="shared" si="2"/>
        <v>0.64676</v>
      </c>
      <c r="N107" s="6">
        <f t="shared" si="3"/>
        <v>0.00505441501176062</v>
      </c>
    </row>
    <row r="108" spans="1:14">
      <c r="A108" s="5" t="s">
        <v>115</v>
      </c>
      <c r="B108" s="5" t="s">
        <v>122</v>
      </c>
      <c r="C108" s="6">
        <v>0.5239</v>
      </c>
      <c r="D108" s="6">
        <v>0.5744</v>
      </c>
      <c r="E108" s="6">
        <v>0.5487</v>
      </c>
      <c r="F108" s="6">
        <v>0.5141</v>
      </c>
      <c r="G108" s="6">
        <v>0.5578</v>
      </c>
      <c r="H108" s="6">
        <v>0.5593</v>
      </c>
      <c r="I108" s="6">
        <v>0.5421</v>
      </c>
      <c r="J108" s="6">
        <v>0.5156</v>
      </c>
      <c r="K108" s="6">
        <v>0.5361</v>
      </c>
      <c r="L108" s="6">
        <v>0.5733</v>
      </c>
      <c r="M108" s="6">
        <f t="shared" si="2"/>
        <v>0.54453</v>
      </c>
      <c r="N108" s="6">
        <f t="shared" si="3"/>
        <v>0.0221034461868129</v>
      </c>
    </row>
    <row r="109" spans="1:14">
      <c r="A109" s="5" t="s">
        <v>115</v>
      </c>
      <c r="B109" s="5" t="s">
        <v>123</v>
      </c>
      <c r="C109" s="6">
        <v>0.5892</v>
      </c>
      <c r="D109" s="6">
        <v>0.5162</v>
      </c>
      <c r="E109" s="6">
        <v>0.5131</v>
      </c>
      <c r="F109" s="6">
        <v>0.5571</v>
      </c>
      <c r="G109" s="6">
        <v>0.5938</v>
      </c>
      <c r="H109" s="6">
        <v>0.5713</v>
      </c>
      <c r="I109" s="6">
        <v>0.5529</v>
      </c>
      <c r="J109" s="6">
        <v>0.5454</v>
      </c>
      <c r="K109" s="6">
        <v>0.5737</v>
      </c>
      <c r="L109" s="6">
        <v>0.5895</v>
      </c>
      <c r="M109" s="6">
        <f t="shared" si="2"/>
        <v>0.56022</v>
      </c>
      <c r="N109" s="6">
        <f t="shared" si="3"/>
        <v>0.0290024060304582</v>
      </c>
    </row>
    <row r="110" spans="1:14">
      <c r="A110" s="5" t="s">
        <v>115</v>
      </c>
      <c r="B110" s="5" t="s">
        <v>124</v>
      </c>
      <c r="C110" s="6">
        <v>0.5443</v>
      </c>
      <c r="D110" s="6">
        <v>0.5859</v>
      </c>
      <c r="E110" s="6">
        <v>0.5607</v>
      </c>
      <c r="F110" s="6">
        <v>0.5618</v>
      </c>
      <c r="G110" s="6">
        <v>0.5704</v>
      </c>
      <c r="H110" s="6">
        <v>0.544</v>
      </c>
      <c r="I110" s="6">
        <v>0.5602</v>
      </c>
      <c r="J110" s="6">
        <v>0.574</v>
      </c>
      <c r="K110" s="6">
        <v>0.5543</v>
      </c>
      <c r="L110" s="6">
        <v>0.543</v>
      </c>
      <c r="M110" s="6">
        <f t="shared" si="2"/>
        <v>0.55986</v>
      </c>
      <c r="N110" s="6">
        <f t="shared" si="3"/>
        <v>0.014152047358755</v>
      </c>
    </row>
    <row r="111" spans="1:14">
      <c r="A111" s="5" t="s">
        <v>115</v>
      </c>
      <c r="B111" s="5" t="s">
        <v>125</v>
      </c>
      <c r="C111" s="6">
        <v>0.5878</v>
      </c>
      <c r="D111" s="6">
        <v>0.6213</v>
      </c>
      <c r="E111" s="6">
        <v>0.6172</v>
      </c>
      <c r="F111" s="6">
        <v>0.6005</v>
      </c>
      <c r="G111" s="6">
        <v>0.6097</v>
      </c>
      <c r="H111" s="6">
        <v>0.5839</v>
      </c>
      <c r="I111" s="6">
        <v>0.6118</v>
      </c>
      <c r="J111" s="6">
        <v>0.6099</v>
      </c>
      <c r="K111" s="6">
        <v>0.5935</v>
      </c>
      <c r="L111" s="6">
        <v>0.6079</v>
      </c>
      <c r="M111" s="6">
        <f t="shared" si="2"/>
        <v>0.60435</v>
      </c>
      <c r="N111" s="6">
        <f t="shared" si="3"/>
        <v>0.0124926867495436</v>
      </c>
    </row>
    <row r="112" spans="1:14">
      <c r="A112" s="5" t="s">
        <v>115</v>
      </c>
      <c r="B112" s="5" t="s">
        <v>126</v>
      </c>
      <c r="C112" s="6">
        <v>0.5522</v>
      </c>
      <c r="D112" s="6">
        <v>0.5263</v>
      </c>
      <c r="E112" s="6">
        <v>0.5528</v>
      </c>
      <c r="F112" s="6">
        <v>0.5494</v>
      </c>
      <c r="G112" s="6">
        <v>0.5599</v>
      </c>
      <c r="H112" s="6">
        <v>0.5368</v>
      </c>
      <c r="I112" s="6">
        <v>0.5421</v>
      </c>
      <c r="J112" s="6">
        <v>0.574</v>
      </c>
      <c r="K112" s="6">
        <v>0.5467</v>
      </c>
      <c r="L112" s="6">
        <v>0.5264</v>
      </c>
      <c r="M112" s="6">
        <f t="shared" si="2"/>
        <v>0.54666</v>
      </c>
      <c r="N112" s="6">
        <f t="shared" si="3"/>
        <v>0.0146881811898773</v>
      </c>
    </row>
    <row r="113" spans="1:14">
      <c r="A113" s="5" t="s">
        <v>115</v>
      </c>
      <c r="B113" s="5" t="s">
        <v>127</v>
      </c>
      <c r="C113" s="6">
        <v>0.5152</v>
      </c>
      <c r="D113" s="6">
        <v>0.4821</v>
      </c>
      <c r="E113" s="6">
        <v>0.5075</v>
      </c>
      <c r="F113" s="6">
        <v>0.5194</v>
      </c>
      <c r="G113" s="6">
        <v>0.4933</v>
      </c>
      <c r="H113" s="6">
        <v>0.5349</v>
      </c>
      <c r="I113" s="6">
        <v>0.5257</v>
      </c>
      <c r="J113" s="6">
        <v>0.5522</v>
      </c>
      <c r="K113" s="6">
        <v>0.4817</v>
      </c>
      <c r="L113" s="6">
        <v>0.5156</v>
      </c>
      <c r="M113" s="6">
        <f t="shared" si="2"/>
        <v>0.51276</v>
      </c>
      <c r="N113" s="6">
        <f t="shared" si="3"/>
        <v>0.0225643868863206</v>
      </c>
    </row>
    <row r="114" spans="1:14">
      <c r="A114" s="5" t="s">
        <v>115</v>
      </c>
      <c r="B114" s="5" t="s">
        <v>128</v>
      </c>
      <c r="C114" s="6">
        <v>0.5979</v>
      </c>
      <c r="D114" s="6">
        <v>0.6134</v>
      </c>
      <c r="E114" s="6">
        <v>0.6355</v>
      </c>
      <c r="F114" s="6">
        <v>0.6074</v>
      </c>
      <c r="G114" s="6">
        <v>0.6442</v>
      </c>
      <c r="H114" s="6">
        <v>0.6171</v>
      </c>
      <c r="I114" s="6">
        <v>0.6063</v>
      </c>
      <c r="J114" s="6">
        <v>0.6165</v>
      </c>
      <c r="K114" s="6">
        <v>0.5997</v>
      </c>
      <c r="L114" s="6">
        <v>0.6217</v>
      </c>
      <c r="M114" s="6">
        <f t="shared" si="2"/>
        <v>0.61597</v>
      </c>
      <c r="N114" s="6">
        <f t="shared" si="3"/>
        <v>0.014823183793564</v>
      </c>
    </row>
    <row r="115" spans="1:14">
      <c r="A115" s="5" t="s">
        <v>115</v>
      </c>
      <c r="B115" s="5" t="s">
        <v>129</v>
      </c>
      <c r="C115" s="6">
        <v>0.6084</v>
      </c>
      <c r="D115" s="6">
        <v>0.6376</v>
      </c>
      <c r="E115" s="6">
        <v>0.608</v>
      </c>
      <c r="F115" s="6">
        <v>0.6821</v>
      </c>
      <c r="G115" s="6">
        <v>0.6534</v>
      </c>
      <c r="H115" s="6">
        <v>0.6125</v>
      </c>
      <c r="I115" s="6">
        <v>0.5999</v>
      </c>
      <c r="J115" s="6">
        <v>0.6382</v>
      </c>
      <c r="K115" s="6">
        <v>0.6225</v>
      </c>
      <c r="L115" s="6">
        <v>0.6054</v>
      </c>
      <c r="M115" s="6">
        <f t="shared" si="2"/>
        <v>0.6268</v>
      </c>
      <c r="N115" s="6">
        <f t="shared" si="3"/>
        <v>0.0260529375609653</v>
      </c>
    </row>
    <row r="116" spans="1:14">
      <c r="A116" s="5" t="s">
        <v>115</v>
      </c>
      <c r="B116" s="5" t="s">
        <v>130</v>
      </c>
      <c r="C116" s="6">
        <v>0.6299</v>
      </c>
      <c r="D116" s="6">
        <v>0.638</v>
      </c>
      <c r="E116" s="6">
        <v>0.6379</v>
      </c>
      <c r="F116" s="6">
        <v>0.6383</v>
      </c>
      <c r="G116" s="6">
        <v>0.6104</v>
      </c>
      <c r="H116" s="6">
        <v>0.6168</v>
      </c>
      <c r="I116" s="6">
        <v>0.6869</v>
      </c>
      <c r="J116" s="6">
        <v>0.6821</v>
      </c>
      <c r="K116" s="6">
        <v>0.6093</v>
      </c>
      <c r="L116" s="6">
        <v>0.6114</v>
      </c>
      <c r="M116" s="6">
        <f t="shared" si="2"/>
        <v>0.6361</v>
      </c>
      <c r="N116" s="6">
        <f t="shared" si="3"/>
        <v>0.0281031433591808</v>
      </c>
    </row>
    <row r="117" spans="1:14">
      <c r="A117" s="5" t="s">
        <v>115</v>
      </c>
      <c r="B117" s="5" t="s">
        <v>131</v>
      </c>
      <c r="C117" s="6">
        <v>0.5929</v>
      </c>
      <c r="D117" s="6">
        <v>0.5648</v>
      </c>
      <c r="E117" s="6">
        <v>0.6112</v>
      </c>
      <c r="F117" s="6">
        <v>0.583</v>
      </c>
      <c r="G117" s="6">
        <v>0.5871</v>
      </c>
      <c r="H117" s="6">
        <v>0.572</v>
      </c>
      <c r="I117" s="6">
        <v>0.5819</v>
      </c>
      <c r="J117" s="6">
        <v>0.576</v>
      </c>
      <c r="K117" s="6">
        <v>0.586</v>
      </c>
      <c r="L117" s="6">
        <v>0.615</v>
      </c>
      <c r="M117" s="6">
        <f t="shared" si="2"/>
        <v>0.58699</v>
      </c>
      <c r="N117" s="6">
        <f t="shared" si="3"/>
        <v>0.015938454546578</v>
      </c>
    </row>
    <row r="118" spans="1:14">
      <c r="A118" s="5" t="s">
        <v>115</v>
      </c>
      <c r="B118" s="5" t="s">
        <v>132</v>
      </c>
      <c r="C118" s="6">
        <v>0.5814</v>
      </c>
      <c r="D118" s="6">
        <v>0.616</v>
      </c>
      <c r="E118" s="6">
        <v>0.6154</v>
      </c>
      <c r="F118" s="6">
        <v>0.5901</v>
      </c>
      <c r="G118" s="6">
        <v>0.6014</v>
      </c>
      <c r="H118" s="6">
        <v>0.6141</v>
      </c>
      <c r="I118" s="6">
        <v>0.6125</v>
      </c>
      <c r="J118" s="6">
        <v>0.6113</v>
      </c>
      <c r="K118" s="6">
        <v>0.6056</v>
      </c>
      <c r="L118" s="6">
        <v>0.6147</v>
      </c>
      <c r="M118" s="6">
        <f t="shared" si="2"/>
        <v>0.60625</v>
      </c>
      <c r="N118" s="6">
        <f t="shared" si="3"/>
        <v>0.0119194751935179</v>
      </c>
    </row>
    <row r="119" spans="1:14">
      <c r="A119" s="5" t="s">
        <v>115</v>
      </c>
      <c r="B119" s="5" t="s">
        <v>133</v>
      </c>
      <c r="C119" s="6">
        <v>0.5732</v>
      </c>
      <c r="D119" s="6">
        <v>0.6184</v>
      </c>
      <c r="E119" s="6">
        <v>0.5917</v>
      </c>
      <c r="F119" s="6">
        <v>0.5966</v>
      </c>
      <c r="G119" s="6">
        <v>0.5988</v>
      </c>
      <c r="H119" s="6">
        <v>0.5965</v>
      </c>
      <c r="I119" s="6">
        <v>0.6035</v>
      </c>
      <c r="J119" s="6">
        <v>0.6034</v>
      </c>
      <c r="K119" s="6">
        <v>0.5897</v>
      </c>
      <c r="L119" s="6">
        <v>0.5774</v>
      </c>
      <c r="M119" s="6">
        <f t="shared" si="2"/>
        <v>0.59492</v>
      </c>
      <c r="N119" s="6">
        <f t="shared" si="3"/>
        <v>0.013053462716417</v>
      </c>
    </row>
    <row r="120" spans="1:14">
      <c r="A120" s="5" t="s">
        <v>115</v>
      </c>
      <c r="B120" s="5" t="s">
        <v>134</v>
      </c>
      <c r="C120" s="6">
        <v>0.6415</v>
      </c>
      <c r="D120" s="6">
        <v>0.6105</v>
      </c>
      <c r="E120" s="6">
        <v>0.6106</v>
      </c>
      <c r="F120" s="6">
        <v>0.6405</v>
      </c>
      <c r="G120" s="6">
        <v>0.606</v>
      </c>
      <c r="H120" s="6">
        <v>0.6212</v>
      </c>
      <c r="I120" s="6">
        <v>0.6457</v>
      </c>
      <c r="J120" s="6">
        <v>0.5901</v>
      </c>
      <c r="K120" s="6">
        <v>0.6242</v>
      </c>
      <c r="L120" s="6">
        <v>0.6332</v>
      </c>
      <c r="M120" s="6">
        <f t="shared" si="2"/>
        <v>0.62235</v>
      </c>
      <c r="N120" s="6">
        <f t="shared" si="3"/>
        <v>0.0181037288976608</v>
      </c>
    </row>
    <row r="121" spans="1:14">
      <c r="A121" s="5" t="s">
        <v>115</v>
      </c>
      <c r="B121" s="5" t="s">
        <v>135</v>
      </c>
      <c r="C121" s="6">
        <v>0.7819</v>
      </c>
      <c r="D121" s="6">
        <v>0.7412</v>
      </c>
      <c r="E121" s="6">
        <v>0.6931</v>
      </c>
      <c r="F121" s="6">
        <v>0.758</v>
      </c>
      <c r="G121" s="6">
        <v>0.682</v>
      </c>
      <c r="H121" s="6">
        <v>0.7828</v>
      </c>
      <c r="I121" s="6">
        <v>0.6786</v>
      </c>
      <c r="J121" s="6">
        <v>0.7163</v>
      </c>
      <c r="K121" s="6">
        <v>0.761</v>
      </c>
      <c r="L121" s="6">
        <v>0.6959</v>
      </c>
      <c r="M121" s="6">
        <f t="shared" si="2"/>
        <v>0.72908</v>
      </c>
      <c r="N121" s="6">
        <f t="shared" si="3"/>
        <v>0.0408268647937714</v>
      </c>
    </row>
    <row r="122" spans="1:14">
      <c r="A122" s="5" t="s">
        <v>115</v>
      </c>
      <c r="B122" s="5" t="s">
        <v>136</v>
      </c>
      <c r="C122" s="6">
        <v>0.6459</v>
      </c>
      <c r="D122" s="6">
        <v>0.6178</v>
      </c>
      <c r="E122" s="6">
        <v>0.6596</v>
      </c>
      <c r="F122" s="6">
        <v>0.639</v>
      </c>
      <c r="G122" s="6">
        <v>0.6267</v>
      </c>
      <c r="H122" s="6">
        <v>0.6333</v>
      </c>
      <c r="I122" s="6">
        <v>0.6366</v>
      </c>
      <c r="J122" s="6">
        <v>0.5843</v>
      </c>
      <c r="K122" s="6">
        <v>0.6714</v>
      </c>
      <c r="L122" s="6">
        <v>0.6398</v>
      </c>
      <c r="M122" s="6">
        <f t="shared" si="2"/>
        <v>0.63544</v>
      </c>
      <c r="N122" s="6">
        <f t="shared" si="3"/>
        <v>0.0236330841547748</v>
      </c>
    </row>
    <row r="123" spans="1:14">
      <c r="A123" s="5" t="s">
        <v>115</v>
      </c>
      <c r="B123" s="5" t="s">
        <v>137</v>
      </c>
      <c r="C123" s="6">
        <v>0.6398</v>
      </c>
      <c r="D123" s="6">
        <v>0.6362</v>
      </c>
      <c r="E123" s="6">
        <v>0.6621</v>
      </c>
      <c r="F123" s="6">
        <v>0.6501</v>
      </c>
      <c r="G123" s="6">
        <v>0.6429</v>
      </c>
      <c r="H123" s="6">
        <v>0.7161</v>
      </c>
      <c r="I123" s="6">
        <v>0.6194</v>
      </c>
      <c r="J123" s="6">
        <v>0.7095</v>
      </c>
      <c r="K123" s="6">
        <v>0.633</v>
      </c>
      <c r="L123" s="6">
        <v>0.7166</v>
      </c>
      <c r="M123" s="6">
        <f t="shared" si="2"/>
        <v>0.66257</v>
      </c>
      <c r="N123" s="6">
        <f t="shared" si="3"/>
        <v>0.0372404215873022</v>
      </c>
    </row>
    <row r="124" spans="1:14">
      <c r="A124" s="5" t="s">
        <v>115</v>
      </c>
      <c r="B124" s="5" t="s">
        <v>138</v>
      </c>
      <c r="C124" s="6">
        <v>0.6172</v>
      </c>
      <c r="D124" s="6">
        <v>0.5872</v>
      </c>
      <c r="E124" s="6">
        <v>0.648</v>
      </c>
      <c r="F124" s="6">
        <v>0.5878</v>
      </c>
      <c r="G124" s="6">
        <v>0.6188</v>
      </c>
      <c r="H124" s="6">
        <v>0.5961</v>
      </c>
      <c r="I124" s="6">
        <v>0.5993</v>
      </c>
      <c r="J124" s="6">
        <v>0.6295</v>
      </c>
      <c r="K124" s="6">
        <v>0.6111</v>
      </c>
      <c r="L124" s="6">
        <v>0.6051</v>
      </c>
      <c r="M124" s="6">
        <f t="shared" si="2"/>
        <v>0.61001</v>
      </c>
      <c r="N124" s="6">
        <f t="shared" si="3"/>
        <v>0.0191460149610536</v>
      </c>
    </row>
    <row r="125" spans="1:14">
      <c r="A125" s="5" t="s">
        <v>115</v>
      </c>
      <c r="B125" s="5" t="s">
        <v>139</v>
      </c>
      <c r="C125" s="6">
        <v>0.5028</v>
      </c>
      <c r="D125" s="6">
        <v>0.5597</v>
      </c>
      <c r="E125" s="6">
        <v>0.5531</v>
      </c>
      <c r="F125" s="6">
        <v>0.5169</v>
      </c>
      <c r="G125" s="6">
        <v>0.5177</v>
      </c>
      <c r="H125" s="6">
        <v>0.5219</v>
      </c>
      <c r="I125" s="6">
        <v>0.5354</v>
      </c>
      <c r="J125" s="6">
        <v>0.5675</v>
      </c>
      <c r="K125" s="6">
        <v>0.549</v>
      </c>
      <c r="L125" s="6">
        <v>0.5462</v>
      </c>
      <c r="M125" s="6">
        <f t="shared" si="2"/>
        <v>0.53702</v>
      </c>
      <c r="N125" s="6">
        <f t="shared" si="3"/>
        <v>0.0213700101388215</v>
      </c>
    </row>
    <row r="126" spans="1:14">
      <c r="A126" s="5" t="s">
        <v>115</v>
      </c>
      <c r="B126" s="5" t="s">
        <v>140</v>
      </c>
      <c r="C126" s="6">
        <v>0.6416</v>
      </c>
      <c r="D126" s="6">
        <v>0.6278</v>
      </c>
      <c r="E126" s="6">
        <v>0.5995</v>
      </c>
      <c r="F126" s="6">
        <v>0.6796</v>
      </c>
      <c r="G126" s="6">
        <v>0.6902</v>
      </c>
      <c r="H126" s="6">
        <v>0.6316</v>
      </c>
      <c r="I126" s="6">
        <v>0.6285</v>
      </c>
      <c r="J126" s="6">
        <v>0.6966</v>
      </c>
      <c r="K126" s="6">
        <v>0.6426</v>
      </c>
      <c r="L126" s="6">
        <v>0.6908</v>
      </c>
      <c r="M126" s="6">
        <f t="shared" si="2"/>
        <v>0.65288</v>
      </c>
      <c r="N126" s="6">
        <f t="shared" si="3"/>
        <v>0.0336892267646498</v>
      </c>
    </row>
    <row r="127" spans="1:14">
      <c r="A127" s="5" t="s">
        <v>115</v>
      </c>
      <c r="B127" s="5" t="s">
        <v>141</v>
      </c>
      <c r="C127" s="6">
        <v>0.7194</v>
      </c>
      <c r="D127" s="6">
        <v>0.7115</v>
      </c>
      <c r="E127" s="6">
        <v>0.6119</v>
      </c>
      <c r="F127" s="6">
        <v>0.7086</v>
      </c>
      <c r="G127" s="6">
        <v>0.7181</v>
      </c>
      <c r="H127" s="6">
        <v>0.6131</v>
      </c>
      <c r="I127" s="6">
        <v>0.7186</v>
      </c>
      <c r="J127" s="6">
        <v>0.6987</v>
      </c>
      <c r="K127" s="6">
        <v>0.6303</v>
      </c>
      <c r="L127" s="6">
        <v>0.7112</v>
      </c>
      <c r="M127" s="6">
        <f t="shared" si="2"/>
        <v>0.68414</v>
      </c>
      <c r="N127" s="6">
        <f t="shared" si="3"/>
        <v>0.0459941832071066</v>
      </c>
    </row>
    <row r="128" spans="1:14">
      <c r="A128" s="5" t="s">
        <v>115</v>
      </c>
      <c r="B128" s="5" t="s">
        <v>142</v>
      </c>
      <c r="C128" s="6">
        <v>0.7143</v>
      </c>
      <c r="D128" s="6">
        <v>0.6697</v>
      </c>
      <c r="E128" s="6">
        <v>0.6865</v>
      </c>
      <c r="F128" s="6">
        <v>0.6981</v>
      </c>
      <c r="G128" s="6">
        <v>0.7127</v>
      </c>
      <c r="H128" s="6">
        <v>0.68</v>
      </c>
      <c r="I128" s="6">
        <v>0.6796</v>
      </c>
      <c r="J128" s="6">
        <v>0.6847</v>
      </c>
      <c r="K128" s="6">
        <v>0.687</v>
      </c>
      <c r="L128" s="6">
        <v>0.6559</v>
      </c>
      <c r="M128" s="6">
        <f t="shared" si="2"/>
        <v>0.68685</v>
      </c>
      <c r="N128" s="6">
        <f t="shared" si="3"/>
        <v>0.0179646721218186</v>
      </c>
    </row>
    <row r="129" spans="1:14">
      <c r="A129" s="5" t="s">
        <v>115</v>
      </c>
      <c r="B129" s="5" t="s">
        <v>143</v>
      </c>
      <c r="C129" s="6">
        <v>0.7146</v>
      </c>
      <c r="D129" s="6">
        <v>0.7227</v>
      </c>
      <c r="E129" s="6">
        <v>0.7168</v>
      </c>
      <c r="F129" s="6">
        <v>0.7339</v>
      </c>
      <c r="G129" s="6">
        <v>0.6773</v>
      </c>
      <c r="H129" s="6">
        <v>0.6961</v>
      </c>
      <c r="I129" s="6">
        <v>0.6752</v>
      </c>
      <c r="J129" s="6">
        <v>0.6962</v>
      </c>
      <c r="K129" s="6">
        <v>0.7285</v>
      </c>
      <c r="L129" s="6">
        <v>0.6626</v>
      </c>
      <c r="M129" s="6">
        <f t="shared" si="2"/>
        <v>0.70239</v>
      </c>
      <c r="N129" s="6">
        <f t="shared" si="3"/>
        <v>0.0246616413799965</v>
      </c>
    </row>
    <row r="130" spans="1:14">
      <c r="A130" s="5" t="s">
        <v>115</v>
      </c>
      <c r="B130" s="5" t="s">
        <v>144</v>
      </c>
      <c r="C130" s="6">
        <v>0.4742</v>
      </c>
      <c r="D130" s="6">
        <v>0.4669</v>
      </c>
      <c r="E130" s="6">
        <v>0.4805</v>
      </c>
      <c r="F130" s="6">
        <v>0.4659</v>
      </c>
      <c r="G130" s="6">
        <v>0.465</v>
      </c>
      <c r="H130" s="6">
        <v>0.4644</v>
      </c>
      <c r="I130" s="6">
        <v>0.4626</v>
      </c>
      <c r="J130" s="6">
        <v>0.4558</v>
      </c>
      <c r="K130" s="6">
        <v>0.476</v>
      </c>
      <c r="L130" s="6">
        <v>0.4464</v>
      </c>
      <c r="M130" s="6">
        <f t="shared" ref="M130:M193" si="4">AVERAGE(C130:L130)</f>
        <v>0.46577</v>
      </c>
      <c r="N130" s="6">
        <f t="shared" ref="N130:N193" si="5">_xlfn.STDEV.S(C130:L130)</f>
        <v>0.00989444849959365</v>
      </c>
    </row>
    <row r="131" spans="1:14">
      <c r="A131" s="5" t="s">
        <v>115</v>
      </c>
      <c r="B131" s="5" t="s">
        <v>145</v>
      </c>
      <c r="C131" s="6">
        <v>0.6908</v>
      </c>
      <c r="D131" s="6">
        <v>0.6578</v>
      </c>
      <c r="E131" s="6">
        <v>0.7019</v>
      </c>
      <c r="F131" s="6">
        <v>0.6743</v>
      </c>
      <c r="G131" s="6">
        <v>0.6873</v>
      </c>
      <c r="H131" s="6">
        <v>0.6768</v>
      </c>
      <c r="I131" s="6">
        <v>0.6366</v>
      </c>
      <c r="J131" s="6">
        <v>0.6251</v>
      </c>
      <c r="K131" s="6">
        <v>0.6362</v>
      </c>
      <c r="L131" s="6">
        <v>0.6939</v>
      </c>
      <c r="M131" s="6">
        <f t="shared" si="4"/>
        <v>0.66807</v>
      </c>
      <c r="N131" s="6">
        <f t="shared" si="5"/>
        <v>0.0274288594974952</v>
      </c>
    </row>
    <row r="132" spans="1:14">
      <c r="A132" s="5" t="s">
        <v>115</v>
      </c>
      <c r="B132" s="5" t="s">
        <v>146</v>
      </c>
      <c r="C132" s="6">
        <v>0.5337</v>
      </c>
      <c r="D132" s="6">
        <v>0.5474</v>
      </c>
      <c r="E132" s="6">
        <v>0.5572</v>
      </c>
      <c r="F132" s="6">
        <v>0.5296</v>
      </c>
      <c r="G132" s="6">
        <v>0.5195</v>
      </c>
      <c r="H132" s="6">
        <v>0.5098</v>
      </c>
      <c r="I132" s="6">
        <v>0.5165</v>
      </c>
      <c r="J132" s="6">
        <v>0.5467</v>
      </c>
      <c r="K132" s="6">
        <v>0.5256</v>
      </c>
      <c r="L132" s="6">
        <v>0.5616</v>
      </c>
      <c r="M132" s="6">
        <f t="shared" si="4"/>
        <v>0.53476</v>
      </c>
      <c r="N132" s="6">
        <f t="shared" si="5"/>
        <v>0.0177238821932442</v>
      </c>
    </row>
    <row r="133" spans="1:14">
      <c r="A133" s="5" t="s">
        <v>115</v>
      </c>
      <c r="B133" s="5" t="s">
        <v>147</v>
      </c>
      <c r="C133" s="6">
        <v>0.659</v>
      </c>
      <c r="D133" s="6">
        <v>0.6086</v>
      </c>
      <c r="E133" s="6">
        <v>0.6489</v>
      </c>
      <c r="F133" s="6">
        <v>0.6422</v>
      </c>
      <c r="G133" s="6">
        <v>0.6387</v>
      </c>
      <c r="H133" s="6">
        <v>0.6332</v>
      </c>
      <c r="I133" s="6">
        <v>0.6061</v>
      </c>
      <c r="J133" s="6">
        <v>0.6142</v>
      </c>
      <c r="K133" s="6">
        <v>0.6433</v>
      </c>
      <c r="L133" s="6">
        <v>0.6</v>
      </c>
      <c r="M133" s="6">
        <f t="shared" si="4"/>
        <v>0.62942</v>
      </c>
      <c r="N133" s="6">
        <f t="shared" si="5"/>
        <v>0.0205083072599049</v>
      </c>
    </row>
    <row r="134" spans="1:14">
      <c r="A134" s="5" t="s">
        <v>115</v>
      </c>
      <c r="B134" s="5" t="s">
        <v>148</v>
      </c>
      <c r="C134" s="6">
        <v>0.6791</v>
      </c>
      <c r="D134" s="6">
        <v>0.7086</v>
      </c>
      <c r="E134" s="6">
        <v>0.6851</v>
      </c>
      <c r="F134" s="6">
        <v>0.6944</v>
      </c>
      <c r="G134" s="6">
        <v>0.6861</v>
      </c>
      <c r="H134" s="6">
        <v>0.7373</v>
      </c>
      <c r="I134" s="6">
        <v>0.7213</v>
      </c>
      <c r="J134" s="6">
        <v>0.6673</v>
      </c>
      <c r="K134" s="6">
        <v>0.647</v>
      </c>
      <c r="L134" s="6">
        <v>0.6924</v>
      </c>
      <c r="M134" s="6">
        <f t="shared" si="4"/>
        <v>0.69186</v>
      </c>
      <c r="N134" s="6">
        <f t="shared" si="5"/>
        <v>0.0259824385135636</v>
      </c>
    </row>
    <row r="135" spans="1:14">
      <c r="A135" s="5" t="s">
        <v>115</v>
      </c>
      <c r="B135" s="5" t="s">
        <v>149</v>
      </c>
      <c r="C135" s="6">
        <v>0.5261</v>
      </c>
      <c r="D135" s="6">
        <v>0.5326</v>
      </c>
      <c r="E135" s="6">
        <v>0.534</v>
      </c>
      <c r="F135" s="6">
        <v>0.5682</v>
      </c>
      <c r="G135" s="6">
        <v>0.5316</v>
      </c>
      <c r="H135" s="6">
        <v>0.5405</v>
      </c>
      <c r="I135" s="6">
        <v>0.548</v>
      </c>
      <c r="J135" s="6">
        <v>0.5388</v>
      </c>
      <c r="K135" s="6">
        <v>0.5482</v>
      </c>
      <c r="L135" s="6">
        <v>0.5534</v>
      </c>
      <c r="M135" s="6">
        <f t="shared" si="4"/>
        <v>0.54214</v>
      </c>
      <c r="N135" s="6">
        <f t="shared" si="5"/>
        <v>0.0125453134233023</v>
      </c>
    </row>
    <row r="136" spans="1:14">
      <c r="A136" s="5" t="s">
        <v>115</v>
      </c>
      <c r="B136" s="5" t="s">
        <v>150</v>
      </c>
      <c r="C136" s="6">
        <v>0.5248</v>
      </c>
      <c r="D136" s="6">
        <v>0.5144</v>
      </c>
      <c r="E136" s="6">
        <v>0.5057</v>
      </c>
      <c r="F136" s="6">
        <v>0.5338</v>
      </c>
      <c r="G136" s="6">
        <v>0.5234</v>
      </c>
      <c r="H136" s="6">
        <v>0.5119</v>
      </c>
      <c r="I136" s="6">
        <v>0.5083</v>
      </c>
      <c r="J136" s="6">
        <v>0.5417</v>
      </c>
      <c r="K136" s="6">
        <v>0.5436</v>
      </c>
      <c r="L136" s="6">
        <v>0.5086</v>
      </c>
      <c r="M136" s="6">
        <f t="shared" si="4"/>
        <v>0.52162</v>
      </c>
      <c r="N136" s="6">
        <f t="shared" si="5"/>
        <v>0.0141223070195898</v>
      </c>
    </row>
    <row r="137" spans="1:14">
      <c r="A137" s="5" t="s">
        <v>115</v>
      </c>
      <c r="B137" s="5" t="s">
        <v>151</v>
      </c>
      <c r="C137" s="6">
        <v>0.5425</v>
      </c>
      <c r="D137" s="6">
        <v>0.5781</v>
      </c>
      <c r="E137" s="6">
        <v>0.5659</v>
      </c>
      <c r="F137" s="6">
        <v>0.5807</v>
      </c>
      <c r="G137" s="6">
        <v>0.5772</v>
      </c>
      <c r="H137" s="6">
        <v>0.6004</v>
      </c>
      <c r="I137" s="6">
        <v>0.56</v>
      </c>
      <c r="J137" s="6">
        <v>0.5567</v>
      </c>
      <c r="K137" s="6">
        <v>0.5463</v>
      </c>
      <c r="L137" s="6">
        <v>0.5565</v>
      </c>
      <c r="M137" s="6">
        <f t="shared" si="4"/>
        <v>0.56643</v>
      </c>
      <c r="N137" s="6">
        <f t="shared" si="5"/>
        <v>0.0177091972338293</v>
      </c>
    </row>
    <row r="138" spans="1:14">
      <c r="A138" s="5" t="s">
        <v>115</v>
      </c>
      <c r="B138" s="5" t="s">
        <v>152</v>
      </c>
      <c r="C138" s="6">
        <v>0.6508</v>
      </c>
      <c r="D138" s="6">
        <v>0.6336</v>
      </c>
      <c r="E138" s="6">
        <v>0.6746</v>
      </c>
      <c r="F138" s="6">
        <v>0.6597</v>
      </c>
      <c r="G138" s="6">
        <v>0.6563</v>
      </c>
      <c r="H138" s="6">
        <v>0.6562</v>
      </c>
      <c r="I138" s="6">
        <v>0.6007</v>
      </c>
      <c r="J138" s="6">
        <v>0.6484</v>
      </c>
      <c r="K138" s="6">
        <v>0.6459</v>
      </c>
      <c r="L138" s="6">
        <v>0.6255</v>
      </c>
      <c r="M138" s="6">
        <f t="shared" si="4"/>
        <v>0.64517</v>
      </c>
      <c r="N138" s="6">
        <f t="shared" si="5"/>
        <v>0.0207198267903528</v>
      </c>
    </row>
    <row r="139" spans="1:14">
      <c r="A139" s="5" t="s">
        <v>115</v>
      </c>
      <c r="B139" s="5" t="s">
        <v>153</v>
      </c>
      <c r="C139" s="6">
        <v>0.6755</v>
      </c>
      <c r="D139" s="6">
        <v>0.6109</v>
      </c>
      <c r="E139" s="6">
        <v>0.5977</v>
      </c>
      <c r="F139" s="6">
        <v>0.7135</v>
      </c>
      <c r="G139" s="6">
        <v>0.613</v>
      </c>
      <c r="H139" s="6">
        <v>0.6495</v>
      </c>
      <c r="I139" s="6">
        <v>0.6652</v>
      </c>
      <c r="J139" s="6">
        <v>0.69</v>
      </c>
      <c r="K139" s="6">
        <v>0.5984</v>
      </c>
      <c r="L139" s="6">
        <v>0.6879</v>
      </c>
      <c r="M139" s="6">
        <f t="shared" si="4"/>
        <v>0.65016</v>
      </c>
      <c r="N139" s="6">
        <f t="shared" si="5"/>
        <v>0.0424860813809783</v>
      </c>
    </row>
    <row r="140" spans="1:14">
      <c r="A140" s="5" t="s">
        <v>115</v>
      </c>
      <c r="B140" s="5" t="s">
        <v>154</v>
      </c>
      <c r="C140" s="6">
        <v>0.7328</v>
      </c>
      <c r="D140" s="6">
        <v>0.7346</v>
      </c>
      <c r="E140" s="6">
        <v>0.7374</v>
      </c>
      <c r="F140" s="6">
        <v>0.7356</v>
      </c>
      <c r="G140" s="6">
        <v>0.7353</v>
      </c>
      <c r="H140" s="6">
        <v>0.7358</v>
      </c>
      <c r="I140" s="6">
        <v>0.735</v>
      </c>
      <c r="J140" s="6">
        <v>0.7358</v>
      </c>
      <c r="K140" s="6">
        <v>0.7341</v>
      </c>
      <c r="L140" s="6">
        <v>0.7344</v>
      </c>
      <c r="M140" s="6">
        <f t="shared" si="4"/>
        <v>0.73508</v>
      </c>
      <c r="N140" s="6">
        <f t="shared" si="5"/>
        <v>0.00122909180562995</v>
      </c>
    </row>
    <row r="141" spans="1:14">
      <c r="A141" s="5" t="s">
        <v>115</v>
      </c>
      <c r="B141" s="5" t="s">
        <v>155</v>
      </c>
      <c r="C141" s="6">
        <v>0.5946</v>
      </c>
      <c r="D141" s="6">
        <v>0.5963</v>
      </c>
      <c r="E141" s="6">
        <v>0.6197</v>
      </c>
      <c r="F141" s="6">
        <v>0.6192</v>
      </c>
      <c r="G141" s="6">
        <v>0.6284</v>
      </c>
      <c r="H141" s="6">
        <v>0.638</v>
      </c>
      <c r="I141" s="6">
        <v>0.6096</v>
      </c>
      <c r="J141" s="6">
        <v>0.6224</v>
      </c>
      <c r="K141" s="6">
        <v>0.6009</v>
      </c>
      <c r="L141" s="6">
        <v>0.5917</v>
      </c>
      <c r="M141" s="6">
        <f t="shared" si="4"/>
        <v>0.61208</v>
      </c>
      <c r="N141" s="6">
        <f t="shared" si="5"/>
        <v>0.0158271777508043</v>
      </c>
    </row>
    <row r="142" spans="1:14">
      <c r="A142" s="5" t="s">
        <v>115</v>
      </c>
      <c r="B142" s="5" t="s">
        <v>156</v>
      </c>
      <c r="C142" s="6">
        <v>0.5858</v>
      </c>
      <c r="D142" s="6">
        <v>0.5706</v>
      </c>
      <c r="E142" s="6">
        <v>0.5574</v>
      </c>
      <c r="F142" s="6">
        <v>0.579</v>
      </c>
      <c r="G142" s="6">
        <v>0.5712</v>
      </c>
      <c r="H142" s="6">
        <v>0.5461</v>
      </c>
      <c r="I142" s="6">
        <v>0.5656</v>
      </c>
      <c r="J142" s="6">
        <v>0.5286</v>
      </c>
      <c r="K142" s="6">
        <v>0.5784</v>
      </c>
      <c r="L142" s="6">
        <v>0.5783</v>
      </c>
      <c r="M142" s="6">
        <f t="shared" si="4"/>
        <v>0.5661</v>
      </c>
      <c r="N142" s="6">
        <f t="shared" si="5"/>
        <v>0.017584968328408</v>
      </c>
    </row>
    <row r="143" spans="1:14">
      <c r="A143" s="5" t="s">
        <v>115</v>
      </c>
      <c r="B143" s="5" t="s">
        <v>157</v>
      </c>
      <c r="C143" s="6">
        <v>0.5642</v>
      </c>
      <c r="D143" s="6">
        <v>0.5769</v>
      </c>
      <c r="E143" s="6">
        <v>0.5668</v>
      </c>
      <c r="F143" s="6">
        <v>0.5756</v>
      </c>
      <c r="G143" s="6">
        <v>0.5559</v>
      </c>
      <c r="H143" s="6">
        <v>0.5755</v>
      </c>
      <c r="I143" s="6">
        <v>0.5546</v>
      </c>
      <c r="J143" s="6">
        <v>0.5759</v>
      </c>
      <c r="K143" s="6">
        <v>0.5592</v>
      </c>
      <c r="L143" s="6">
        <v>0.5454</v>
      </c>
      <c r="M143" s="6">
        <f t="shared" si="4"/>
        <v>0.565</v>
      </c>
      <c r="N143" s="6">
        <f t="shared" si="5"/>
        <v>0.0110336857949745</v>
      </c>
    </row>
    <row r="144" spans="1:14">
      <c r="A144" s="5" t="s">
        <v>115</v>
      </c>
      <c r="B144" s="5" t="s">
        <v>158</v>
      </c>
      <c r="C144" s="6">
        <v>0.6137</v>
      </c>
      <c r="D144" s="6">
        <v>0.6211</v>
      </c>
      <c r="E144" s="6">
        <v>0.6267</v>
      </c>
      <c r="F144" s="6">
        <v>0.6213</v>
      </c>
      <c r="G144" s="6">
        <v>0.6222</v>
      </c>
      <c r="H144" s="6">
        <v>0.6283</v>
      </c>
      <c r="I144" s="6">
        <v>0.6132</v>
      </c>
      <c r="J144" s="6">
        <v>0.5868</v>
      </c>
      <c r="K144" s="6">
        <v>0.5905</v>
      </c>
      <c r="L144" s="6">
        <v>0.6107</v>
      </c>
      <c r="M144" s="6">
        <f t="shared" si="4"/>
        <v>0.61345</v>
      </c>
      <c r="N144" s="6">
        <f t="shared" si="5"/>
        <v>0.01428832079396</v>
      </c>
    </row>
    <row r="145" spans="1:14">
      <c r="A145" s="5" t="s">
        <v>115</v>
      </c>
      <c r="B145" s="5" t="s">
        <v>159</v>
      </c>
      <c r="C145" s="6">
        <v>0.5968</v>
      </c>
      <c r="D145" s="6">
        <v>0.5924</v>
      </c>
      <c r="E145" s="6">
        <v>0.5983</v>
      </c>
      <c r="F145" s="6">
        <v>0.6183</v>
      </c>
      <c r="G145" s="6">
        <v>0.6073</v>
      </c>
      <c r="H145" s="6">
        <v>0.597</v>
      </c>
      <c r="I145" s="6">
        <v>0.5894</v>
      </c>
      <c r="J145" s="6">
        <v>0.6038</v>
      </c>
      <c r="K145" s="6">
        <v>0.5835</v>
      </c>
      <c r="L145" s="6">
        <v>0.6265</v>
      </c>
      <c r="M145" s="6">
        <f t="shared" si="4"/>
        <v>0.60133</v>
      </c>
      <c r="N145" s="6">
        <f t="shared" si="5"/>
        <v>0.013130460768762</v>
      </c>
    </row>
    <row r="146" spans="1:14">
      <c r="A146" s="5" t="s">
        <v>115</v>
      </c>
      <c r="B146" s="5" t="s">
        <v>160</v>
      </c>
      <c r="C146" s="6">
        <v>0.5789</v>
      </c>
      <c r="D146" s="6">
        <v>0.5889</v>
      </c>
      <c r="E146" s="6">
        <v>0.5571</v>
      </c>
      <c r="F146" s="6">
        <v>0.6001</v>
      </c>
      <c r="G146" s="6">
        <v>0.5835</v>
      </c>
      <c r="H146" s="6">
        <v>0.5769</v>
      </c>
      <c r="I146" s="6">
        <v>0.5801</v>
      </c>
      <c r="J146" s="6">
        <v>0.6031</v>
      </c>
      <c r="K146" s="6">
        <v>0.5918</v>
      </c>
      <c r="L146" s="6">
        <v>0.6203</v>
      </c>
      <c r="M146" s="6">
        <f t="shared" si="4"/>
        <v>0.58807</v>
      </c>
      <c r="N146" s="6">
        <f t="shared" si="5"/>
        <v>0.0172446481230812</v>
      </c>
    </row>
    <row r="147" spans="1:14">
      <c r="A147" s="5" t="s">
        <v>115</v>
      </c>
      <c r="B147" s="5" t="s">
        <v>161</v>
      </c>
      <c r="C147" s="6">
        <v>0.7554</v>
      </c>
      <c r="D147" s="6">
        <v>0.6563</v>
      </c>
      <c r="E147" s="6">
        <v>0.7373</v>
      </c>
      <c r="F147" s="6">
        <v>0.7399</v>
      </c>
      <c r="G147" s="6">
        <v>0.6525</v>
      </c>
      <c r="H147" s="6">
        <v>0.6509</v>
      </c>
      <c r="I147" s="6">
        <v>0.7178</v>
      </c>
      <c r="J147" s="6">
        <v>0.6334</v>
      </c>
      <c r="K147" s="6">
        <v>0.6647</v>
      </c>
      <c r="L147" s="6">
        <v>0.6691</v>
      </c>
      <c r="M147" s="6">
        <f t="shared" si="4"/>
        <v>0.68773</v>
      </c>
      <c r="N147" s="6">
        <f t="shared" si="5"/>
        <v>0.0448168879379687</v>
      </c>
    </row>
    <row r="148" spans="1:14">
      <c r="A148" s="5" t="s">
        <v>115</v>
      </c>
      <c r="B148" s="5" t="s">
        <v>162</v>
      </c>
      <c r="C148" s="6">
        <v>0.5933</v>
      </c>
      <c r="D148" s="6">
        <v>0.5888</v>
      </c>
      <c r="E148" s="6">
        <v>0.61</v>
      </c>
      <c r="F148" s="6">
        <v>0.5993</v>
      </c>
      <c r="G148" s="6">
        <v>0.6067</v>
      </c>
      <c r="H148" s="6">
        <v>0.6003</v>
      </c>
      <c r="I148" s="6">
        <v>0.6028</v>
      </c>
      <c r="J148" s="6">
        <v>0.6061</v>
      </c>
      <c r="K148" s="6">
        <v>0.5993</v>
      </c>
      <c r="L148" s="6">
        <v>0.5935</v>
      </c>
      <c r="M148" s="6">
        <f t="shared" si="4"/>
        <v>0.60001</v>
      </c>
      <c r="N148" s="6">
        <f t="shared" si="5"/>
        <v>0.00669650821116663</v>
      </c>
    </row>
    <row r="149" spans="1:14">
      <c r="A149" s="5" t="s">
        <v>115</v>
      </c>
      <c r="B149" s="5" t="s">
        <v>163</v>
      </c>
      <c r="C149" s="6">
        <v>0.5083</v>
      </c>
      <c r="D149" s="6">
        <v>0.523</v>
      </c>
      <c r="E149" s="6">
        <v>0.5318</v>
      </c>
      <c r="F149" s="6">
        <v>0.5765</v>
      </c>
      <c r="G149" s="6">
        <v>0.5307</v>
      </c>
      <c r="H149" s="6">
        <v>0.4676</v>
      </c>
      <c r="I149" s="6">
        <v>0.4927</v>
      </c>
      <c r="J149" s="6">
        <v>0.5201</v>
      </c>
      <c r="K149" s="6">
        <v>0.5531</v>
      </c>
      <c r="L149" s="6">
        <v>0.5165</v>
      </c>
      <c r="M149" s="6">
        <f t="shared" si="4"/>
        <v>0.52203</v>
      </c>
      <c r="N149" s="6">
        <f t="shared" si="5"/>
        <v>0.0300916765900473</v>
      </c>
    </row>
    <row r="150" spans="1:14">
      <c r="A150" s="5" t="s">
        <v>115</v>
      </c>
      <c r="B150" s="5" t="s">
        <v>164</v>
      </c>
      <c r="C150" s="6">
        <v>0.6233</v>
      </c>
      <c r="D150" s="6">
        <v>0.6114</v>
      </c>
      <c r="E150" s="6">
        <v>0.6195</v>
      </c>
      <c r="F150" s="6">
        <v>0.6328</v>
      </c>
      <c r="G150" s="6">
        <v>0.605</v>
      </c>
      <c r="H150" s="6">
        <v>0.6316</v>
      </c>
      <c r="I150" s="6">
        <v>0.6244</v>
      </c>
      <c r="J150" s="6">
        <v>0.6062</v>
      </c>
      <c r="K150" s="6">
        <v>0.6271</v>
      </c>
      <c r="L150" s="6">
        <v>0.5854</v>
      </c>
      <c r="M150" s="6">
        <f t="shared" si="4"/>
        <v>0.61667</v>
      </c>
      <c r="N150" s="6">
        <f t="shared" si="5"/>
        <v>0.0147383890269972</v>
      </c>
    </row>
    <row r="151" spans="1:14">
      <c r="A151" s="5" t="s">
        <v>115</v>
      </c>
      <c r="B151" s="5" t="s">
        <v>165</v>
      </c>
      <c r="C151" s="6">
        <v>0.5813</v>
      </c>
      <c r="D151" s="6">
        <v>0.5969</v>
      </c>
      <c r="E151" s="6">
        <v>0.6074</v>
      </c>
      <c r="F151" s="6">
        <v>0.5879</v>
      </c>
      <c r="G151" s="6">
        <v>0.5869</v>
      </c>
      <c r="H151" s="6">
        <v>0.5858</v>
      </c>
      <c r="I151" s="6">
        <v>0.587</v>
      </c>
      <c r="J151" s="6">
        <v>0.6217</v>
      </c>
      <c r="K151" s="6">
        <v>0.6375</v>
      </c>
      <c r="L151" s="6">
        <v>0.6006</v>
      </c>
      <c r="M151" s="6">
        <f t="shared" si="4"/>
        <v>0.5993</v>
      </c>
      <c r="N151" s="6">
        <f t="shared" si="5"/>
        <v>0.0181821646431637</v>
      </c>
    </row>
    <row r="152" spans="1:14">
      <c r="A152" s="5" t="s">
        <v>115</v>
      </c>
      <c r="B152" s="5" t="s">
        <v>166</v>
      </c>
      <c r="C152" s="6">
        <v>0.6163</v>
      </c>
      <c r="D152" s="6">
        <v>0.636</v>
      </c>
      <c r="E152" s="6">
        <v>0.6055</v>
      </c>
      <c r="F152" s="6">
        <v>0.63</v>
      </c>
      <c r="G152" s="6">
        <v>0.6099</v>
      </c>
      <c r="H152" s="6">
        <v>0.5882</v>
      </c>
      <c r="I152" s="6">
        <v>0.6254</v>
      </c>
      <c r="J152" s="6">
        <v>0.6694</v>
      </c>
      <c r="K152" s="6">
        <v>0.625</v>
      </c>
      <c r="L152" s="6">
        <v>0.5963</v>
      </c>
      <c r="M152" s="6">
        <f t="shared" si="4"/>
        <v>0.6202</v>
      </c>
      <c r="N152" s="6">
        <f t="shared" si="5"/>
        <v>0.0229709962053601</v>
      </c>
    </row>
    <row r="153" spans="1:14">
      <c r="A153" s="5" t="s">
        <v>115</v>
      </c>
      <c r="B153" s="5" t="s">
        <v>167</v>
      </c>
      <c r="C153" s="6">
        <v>0.4545</v>
      </c>
      <c r="D153" s="6">
        <v>0.4651</v>
      </c>
      <c r="E153" s="6">
        <v>0.4849</v>
      </c>
      <c r="F153" s="6">
        <v>0.4335</v>
      </c>
      <c r="G153" s="6">
        <v>0.4517</v>
      </c>
      <c r="H153" s="6">
        <v>0.4731</v>
      </c>
      <c r="I153" s="6">
        <v>0.4124</v>
      </c>
      <c r="J153" s="6">
        <v>0.4533</v>
      </c>
      <c r="K153" s="6">
        <v>0.4588</v>
      </c>
      <c r="L153" s="6">
        <v>0.4169</v>
      </c>
      <c r="M153" s="6">
        <f t="shared" si="4"/>
        <v>0.45042</v>
      </c>
      <c r="N153" s="6">
        <f t="shared" si="5"/>
        <v>0.0232640781750177</v>
      </c>
    </row>
    <row r="154" spans="1:14">
      <c r="A154" s="5" t="s">
        <v>115</v>
      </c>
      <c r="B154" s="5" t="s">
        <v>168</v>
      </c>
      <c r="C154" s="6">
        <v>0.6133</v>
      </c>
      <c r="D154" s="6">
        <v>0.5825</v>
      </c>
      <c r="E154" s="6">
        <v>0.5862</v>
      </c>
      <c r="F154" s="6">
        <v>0.5867</v>
      </c>
      <c r="G154" s="6">
        <v>0.5989</v>
      </c>
      <c r="H154" s="6">
        <v>0.5991</v>
      </c>
      <c r="I154" s="6">
        <v>0.6277</v>
      </c>
      <c r="J154" s="6">
        <v>0.6011</v>
      </c>
      <c r="K154" s="6">
        <v>0.606</v>
      </c>
      <c r="L154" s="6">
        <v>0.5883</v>
      </c>
      <c r="M154" s="6">
        <f t="shared" si="4"/>
        <v>0.59898</v>
      </c>
      <c r="N154" s="6">
        <f t="shared" si="5"/>
        <v>0.0140770735595151</v>
      </c>
    </row>
    <row r="155" spans="1:14">
      <c r="A155" s="5" t="s">
        <v>115</v>
      </c>
      <c r="B155" s="5" t="s">
        <v>169</v>
      </c>
      <c r="C155" s="6">
        <v>0.5971</v>
      </c>
      <c r="D155" s="6">
        <v>0.5988</v>
      </c>
      <c r="E155" s="6">
        <v>0.5996</v>
      </c>
      <c r="F155" s="6">
        <v>0.5965</v>
      </c>
      <c r="G155" s="6">
        <v>0.6138</v>
      </c>
      <c r="H155" s="6">
        <v>0.6091</v>
      </c>
      <c r="I155" s="6">
        <v>0.6505</v>
      </c>
      <c r="J155" s="6">
        <v>0.6147</v>
      </c>
      <c r="K155" s="6">
        <v>0.5822</v>
      </c>
      <c r="L155" s="6">
        <v>0.5933</v>
      </c>
      <c r="M155" s="6">
        <f t="shared" si="4"/>
        <v>0.60556</v>
      </c>
      <c r="N155" s="6">
        <f t="shared" si="5"/>
        <v>0.018602401278688</v>
      </c>
    </row>
    <row r="156" spans="1:14">
      <c r="A156" s="5" t="s">
        <v>115</v>
      </c>
      <c r="B156" s="5" t="s">
        <v>170</v>
      </c>
      <c r="C156" s="6">
        <v>0.6018</v>
      </c>
      <c r="D156" s="6">
        <v>0.6073</v>
      </c>
      <c r="E156" s="6">
        <v>0.6102</v>
      </c>
      <c r="F156" s="6">
        <v>0.5633</v>
      </c>
      <c r="G156" s="6">
        <v>0.5831</v>
      </c>
      <c r="H156" s="6">
        <v>0.5751</v>
      </c>
      <c r="I156" s="6">
        <v>0.6361</v>
      </c>
      <c r="J156" s="6">
        <v>0.6396</v>
      </c>
      <c r="K156" s="6">
        <v>0.5869</v>
      </c>
      <c r="L156" s="6">
        <v>0.5972</v>
      </c>
      <c r="M156" s="6">
        <f t="shared" si="4"/>
        <v>0.60006</v>
      </c>
      <c r="N156" s="6">
        <f t="shared" si="5"/>
        <v>0.0246393181723846</v>
      </c>
    </row>
    <row r="157" spans="1:14">
      <c r="A157" s="5" t="s">
        <v>115</v>
      </c>
      <c r="B157" s="5" t="s">
        <v>171</v>
      </c>
      <c r="C157" s="6">
        <v>0.5926</v>
      </c>
      <c r="D157" s="6">
        <v>0.5977</v>
      </c>
      <c r="E157" s="6">
        <v>0.6051</v>
      </c>
      <c r="F157" s="6">
        <v>0.6057</v>
      </c>
      <c r="G157" s="6">
        <v>0.6432</v>
      </c>
      <c r="H157" s="6">
        <v>0.6073</v>
      </c>
      <c r="I157" s="6">
        <v>0.5972</v>
      </c>
      <c r="J157" s="6">
        <v>0.5909</v>
      </c>
      <c r="K157" s="6">
        <v>0.603</v>
      </c>
      <c r="L157" s="6">
        <v>0.6517</v>
      </c>
      <c r="M157" s="6">
        <f t="shared" si="4"/>
        <v>0.60944</v>
      </c>
      <c r="N157" s="6">
        <f t="shared" si="5"/>
        <v>0.0208685941601782</v>
      </c>
    </row>
    <row r="158" spans="1:14">
      <c r="A158" s="5" t="s">
        <v>115</v>
      </c>
      <c r="B158" s="5" t="s">
        <v>172</v>
      </c>
      <c r="C158" s="6">
        <v>0.6082</v>
      </c>
      <c r="D158" s="6">
        <v>0.554</v>
      </c>
      <c r="E158" s="6">
        <v>0.5637</v>
      </c>
      <c r="F158" s="6">
        <v>0.5696</v>
      </c>
      <c r="G158" s="6">
        <v>0.5655</v>
      </c>
      <c r="H158" s="6">
        <v>0.6359</v>
      </c>
      <c r="I158" s="6">
        <v>0.5396</v>
      </c>
      <c r="J158" s="6">
        <v>0.5254</v>
      </c>
      <c r="K158" s="6">
        <v>0.5262</v>
      </c>
      <c r="L158" s="6">
        <v>0.566</v>
      </c>
      <c r="M158" s="6">
        <f t="shared" si="4"/>
        <v>0.56541</v>
      </c>
      <c r="N158" s="6">
        <f t="shared" si="5"/>
        <v>0.0345691400593715</v>
      </c>
    </row>
    <row r="159" spans="1:14">
      <c r="A159" s="5" t="s">
        <v>115</v>
      </c>
      <c r="B159" s="5" t="s">
        <v>173</v>
      </c>
      <c r="C159" s="6">
        <v>0.4371</v>
      </c>
      <c r="D159" s="6">
        <v>0.4264</v>
      </c>
      <c r="E159" s="6">
        <v>0.4531</v>
      </c>
      <c r="F159" s="6">
        <v>0.4512</v>
      </c>
      <c r="G159" s="6">
        <v>0.4468</v>
      </c>
      <c r="H159" s="6">
        <v>0.4854</v>
      </c>
      <c r="I159" s="6">
        <v>0.4524</v>
      </c>
      <c r="J159" s="6">
        <v>0.4745</v>
      </c>
      <c r="K159" s="6">
        <v>0.4784</v>
      </c>
      <c r="L159" s="6">
        <v>0.4544</v>
      </c>
      <c r="M159" s="6">
        <f t="shared" si="4"/>
        <v>0.45597</v>
      </c>
      <c r="N159" s="6">
        <f t="shared" si="5"/>
        <v>0.0184792406048878</v>
      </c>
    </row>
    <row r="160" spans="1:14">
      <c r="A160" s="5" t="s">
        <v>115</v>
      </c>
      <c r="B160" s="5" t="s">
        <v>174</v>
      </c>
      <c r="C160" s="6">
        <v>0.4788</v>
      </c>
      <c r="D160" s="6">
        <v>0.4681</v>
      </c>
      <c r="E160" s="6">
        <v>0.4594</v>
      </c>
      <c r="F160" s="6">
        <v>0.4628</v>
      </c>
      <c r="G160" s="6">
        <v>0.4695</v>
      </c>
      <c r="H160" s="6">
        <v>0.4554</v>
      </c>
      <c r="I160" s="6">
        <v>0.4726</v>
      </c>
      <c r="J160" s="6">
        <v>0.4672</v>
      </c>
      <c r="K160" s="6">
        <v>0.4576</v>
      </c>
      <c r="L160" s="6">
        <v>0.4378</v>
      </c>
      <c r="M160" s="6">
        <f t="shared" si="4"/>
        <v>0.46292</v>
      </c>
      <c r="N160" s="6">
        <f t="shared" si="5"/>
        <v>0.0113656206752352</v>
      </c>
    </row>
    <row r="161" spans="1:14">
      <c r="A161" s="5" t="s">
        <v>115</v>
      </c>
      <c r="B161" s="5" t="s">
        <v>175</v>
      </c>
      <c r="C161" s="6">
        <v>0.6007</v>
      </c>
      <c r="D161" s="6">
        <v>0.6078</v>
      </c>
      <c r="E161" s="6">
        <v>0.6015</v>
      </c>
      <c r="F161" s="6">
        <v>0.5948</v>
      </c>
      <c r="G161" s="6">
        <v>0.6318</v>
      </c>
      <c r="H161" s="6">
        <v>0.6027</v>
      </c>
      <c r="I161" s="6">
        <v>0.5888</v>
      </c>
      <c r="J161" s="6">
        <v>0.585</v>
      </c>
      <c r="K161" s="6">
        <v>0.5945</v>
      </c>
      <c r="L161" s="6">
        <v>0.6085</v>
      </c>
      <c r="M161" s="6">
        <f t="shared" si="4"/>
        <v>0.60161</v>
      </c>
      <c r="N161" s="6">
        <f t="shared" si="5"/>
        <v>0.0130646639621708</v>
      </c>
    </row>
    <row r="162" spans="1:14">
      <c r="A162" s="5" t="s">
        <v>115</v>
      </c>
      <c r="B162" s="5" t="s">
        <v>176</v>
      </c>
      <c r="C162" s="6">
        <v>0.7147</v>
      </c>
      <c r="D162" s="6">
        <v>0.7052</v>
      </c>
      <c r="E162" s="6">
        <v>0.6952</v>
      </c>
      <c r="F162" s="6">
        <v>0.6928</v>
      </c>
      <c r="G162" s="6">
        <v>0.7159</v>
      </c>
      <c r="H162" s="6">
        <v>0.7116</v>
      </c>
      <c r="I162" s="6">
        <v>0.7159</v>
      </c>
      <c r="J162" s="6">
        <v>0.7025</v>
      </c>
      <c r="K162" s="6">
        <v>0.7086</v>
      </c>
      <c r="L162" s="6">
        <v>0.7051</v>
      </c>
      <c r="M162" s="6">
        <f t="shared" si="4"/>
        <v>0.70675</v>
      </c>
      <c r="N162" s="6">
        <f t="shared" si="5"/>
        <v>0.00822452295138008</v>
      </c>
    </row>
    <row r="163" spans="1:14">
      <c r="A163" s="5" t="s">
        <v>115</v>
      </c>
      <c r="B163" s="5" t="s">
        <v>177</v>
      </c>
      <c r="C163" s="6">
        <v>0.592</v>
      </c>
      <c r="D163" s="6">
        <v>0.5855</v>
      </c>
      <c r="E163" s="6">
        <v>0.6066</v>
      </c>
      <c r="F163" s="6">
        <v>0.6033</v>
      </c>
      <c r="G163" s="6">
        <v>0.5922</v>
      </c>
      <c r="H163" s="6">
        <v>0.6152</v>
      </c>
      <c r="I163" s="6">
        <v>0.5708</v>
      </c>
      <c r="J163" s="6">
        <v>0.5747</v>
      </c>
      <c r="K163" s="6">
        <v>0.5903</v>
      </c>
      <c r="L163" s="6">
        <v>0.6026</v>
      </c>
      <c r="M163" s="6">
        <f t="shared" si="4"/>
        <v>0.59332</v>
      </c>
      <c r="N163" s="6">
        <f t="shared" si="5"/>
        <v>0.0140156103446597</v>
      </c>
    </row>
    <row r="164" spans="1:14">
      <c r="A164" s="5" t="s">
        <v>115</v>
      </c>
      <c r="B164" s="5" t="s">
        <v>178</v>
      </c>
      <c r="C164" s="6">
        <v>0.5336</v>
      </c>
      <c r="D164" s="6">
        <v>0.5324</v>
      </c>
      <c r="E164" s="6">
        <v>0.5508</v>
      </c>
      <c r="F164" s="6">
        <v>0.5415</v>
      </c>
      <c r="G164" s="6">
        <v>0.5431</v>
      </c>
      <c r="H164" s="6">
        <v>0.5303</v>
      </c>
      <c r="I164" s="6">
        <v>0.5383</v>
      </c>
      <c r="J164" s="6">
        <v>0.5346</v>
      </c>
      <c r="K164" s="6">
        <v>0.5302</v>
      </c>
      <c r="L164" s="6">
        <v>0.5442</v>
      </c>
      <c r="M164" s="6">
        <f t="shared" si="4"/>
        <v>0.5379</v>
      </c>
      <c r="N164" s="6">
        <f t="shared" si="5"/>
        <v>0.00685516836651977</v>
      </c>
    </row>
    <row r="165" spans="1:14">
      <c r="A165" s="5" t="s">
        <v>115</v>
      </c>
      <c r="B165" s="5" t="s">
        <v>179</v>
      </c>
      <c r="C165" s="6">
        <v>0.5964</v>
      </c>
      <c r="D165" s="6">
        <v>0.6002</v>
      </c>
      <c r="E165" s="6">
        <v>0.621</v>
      </c>
      <c r="F165" s="6">
        <v>0.651</v>
      </c>
      <c r="G165" s="6">
        <v>0.6449</v>
      </c>
      <c r="H165" s="6">
        <v>0.6245</v>
      </c>
      <c r="I165" s="6">
        <v>0.6308</v>
      </c>
      <c r="J165" s="6">
        <v>0.6573</v>
      </c>
      <c r="K165" s="6">
        <v>0.6442</v>
      </c>
      <c r="L165" s="6">
        <v>0.6051</v>
      </c>
      <c r="M165" s="6">
        <f t="shared" si="4"/>
        <v>0.62754</v>
      </c>
      <c r="N165" s="6">
        <f t="shared" si="5"/>
        <v>0.0218538682057789</v>
      </c>
    </row>
    <row r="166" spans="1:14">
      <c r="A166" s="5" t="s">
        <v>115</v>
      </c>
      <c r="B166" s="5" t="s">
        <v>180</v>
      </c>
      <c r="C166" s="6">
        <v>0.6589</v>
      </c>
      <c r="D166" s="6">
        <v>0.6493</v>
      </c>
      <c r="E166" s="6">
        <v>0.6398</v>
      </c>
      <c r="F166" s="6">
        <v>0.6897</v>
      </c>
      <c r="G166" s="6">
        <v>0.6264</v>
      </c>
      <c r="H166" s="6">
        <v>0.6554</v>
      </c>
      <c r="I166" s="6">
        <v>0.6622</v>
      </c>
      <c r="J166" s="6">
        <v>0.6394</v>
      </c>
      <c r="K166" s="6">
        <v>0.633</v>
      </c>
      <c r="L166" s="6">
        <v>0.6974</v>
      </c>
      <c r="M166" s="6">
        <f t="shared" si="4"/>
        <v>0.65515</v>
      </c>
      <c r="N166" s="6">
        <f t="shared" si="5"/>
        <v>0.0232801417521458</v>
      </c>
    </row>
    <row r="167" spans="1:14">
      <c r="A167" s="5" t="s">
        <v>115</v>
      </c>
      <c r="B167" s="5" t="s">
        <v>181</v>
      </c>
      <c r="C167" s="6">
        <v>0.5792</v>
      </c>
      <c r="D167" s="6">
        <v>0.6015</v>
      </c>
      <c r="E167" s="6">
        <v>0.5899</v>
      </c>
      <c r="F167" s="6">
        <v>0.6153</v>
      </c>
      <c r="G167" s="6">
        <v>0.607</v>
      </c>
      <c r="H167" s="6">
        <v>0.6054</v>
      </c>
      <c r="I167" s="6">
        <v>0.592</v>
      </c>
      <c r="J167" s="6">
        <v>0.6109</v>
      </c>
      <c r="K167" s="6">
        <v>0.5925</v>
      </c>
      <c r="L167" s="6">
        <v>0.5832</v>
      </c>
      <c r="M167" s="6">
        <f t="shared" si="4"/>
        <v>0.59769</v>
      </c>
      <c r="N167" s="6">
        <f t="shared" si="5"/>
        <v>0.0120972402729805</v>
      </c>
    </row>
    <row r="168" spans="1:14">
      <c r="A168" s="5" t="s">
        <v>115</v>
      </c>
      <c r="B168" s="5" t="s">
        <v>182</v>
      </c>
      <c r="C168" s="6">
        <v>0.6048</v>
      </c>
      <c r="D168" s="6">
        <v>0.6158</v>
      </c>
      <c r="E168" s="6">
        <v>0.6219</v>
      </c>
      <c r="F168" s="6">
        <v>0.6029</v>
      </c>
      <c r="G168" s="6">
        <v>0.5973</v>
      </c>
      <c r="H168" s="6">
        <v>0.596</v>
      </c>
      <c r="I168" s="6">
        <v>0.6145</v>
      </c>
      <c r="J168" s="6">
        <v>0.5921</v>
      </c>
      <c r="K168" s="6">
        <v>0.6124</v>
      </c>
      <c r="L168" s="6">
        <v>0.6114</v>
      </c>
      <c r="M168" s="6">
        <f t="shared" si="4"/>
        <v>0.60691</v>
      </c>
      <c r="N168" s="6">
        <f t="shared" si="5"/>
        <v>0.00979165744680419</v>
      </c>
    </row>
    <row r="169" spans="1:14">
      <c r="A169" s="5" t="s">
        <v>115</v>
      </c>
      <c r="B169" s="5" t="s">
        <v>183</v>
      </c>
      <c r="C169" s="6">
        <v>0.6472</v>
      </c>
      <c r="D169" s="6">
        <v>0.6419</v>
      </c>
      <c r="E169" s="6">
        <v>0.648</v>
      </c>
      <c r="F169" s="6">
        <v>0.6315</v>
      </c>
      <c r="G169" s="6">
        <v>0.65</v>
      </c>
      <c r="H169" s="6">
        <v>0.6502</v>
      </c>
      <c r="I169" s="6">
        <v>0.6036</v>
      </c>
      <c r="J169" s="6">
        <v>0.6507</v>
      </c>
      <c r="K169" s="6">
        <v>0.6503</v>
      </c>
      <c r="L169" s="6">
        <v>0.6512</v>
      </c>
      <c r="M169" s="6">
        <f t="shared" si="4"/>
        <v>0.64246</v>
      </c>
      <c r="N169" s="6">
        <f t="shared" si="5"/>
        <v>0.0149302228903508</v>
      </c>
    </row>
    <row r="170" spans="1:14">
      <c r="A170" s="5" t="s">
        <v>115</v>
      </c>
      <c r="B170" s="5" t="s">
        <v>184</v>
      </c>
      <c r="C170" s="6">
        <v>0.5025</v>
      </c>
      <c r="D170" s="6">
        <v>0.5324</v>
      </c>
      <c r="E170" s="6">
        <v>0.4885</v>
      </c>
      <c r="F170" s="6">
        <v>0.4664</v>
      </c>
      <c r="G170" s="6">
        <v>0.4804</v>
      </c>
      <c r="H170" s="6">
        <v>0.5252</v>
      </c>
      <c r="I170" s="6">
        <v>0.5263</v>
      </c>
      <c r="J170" s="6">
        <v>0.4958</v>
      </c>
      <c r="K170" s="6">
        <v>0.5417</v>
      </c>
      <c r="L170" s="6">
        <v>0.5381</v>
      </c>
      <c r="M170" s="6">
        <f t="shared" si="4"/>
        <v>0.50973</v>
      </c>
      <c r="N170" s="6">
        <f t="shared" si="5"/>
        <v>0.0264355001213646</v>
      </c>
    </row>
    <row r="171" spans="1:14">
      <c r="A171" s="5" t="s">
        <v>115</v>
      </c>
      <c r="B171" s="5" t="s">
        <v>185</v>
      </c>
      <c r="C171" s="6">
        <v>0.5094</v>
      </c>
      <c r="D171" s="6">
        <v>0.5172</v>
      </c>
      <c r="E171" s="6">
        <v>0.5093</v>
      </c>
      <c r="F171" s="6">
        <v>0.5059</v>
      </c>
      <c r="G171" s="6">
        <v>0.4932</v>
      </c>
      <c r="H171" s="6">
        <v>0.5323</v>
      </c>
      <c r="I171" s="6">
        <v>0.5441</v>
      </c>
      <c r="J171" s="6">
        <v>0.5297</v>
      </c>
      <c r="K171" s="6">
        <v>0.5502</v>
      </c>
      <c r="L171" s="6">
        <v>0.5271</v>
      </c>
      <c r="M171" s="6">
        <f t="shared" si="4"/>
        <v>0.52184</v>
      </c>
      <c r="N171" s="6">
        <f t="shared" si="5"/>
        <v>0.0179707292871244</v>
      </c>
    </row>
    <row r="172" spans="1:14">
      <c r="A172" s="5" t="s">
        <v>115</v>
      </c>
      <c r="B172" s="5" t="s">
        <v>186</v>
      </c>
      <c r="C172" s="6">
        <v>0.6947</v>
      </c>
      <c r="D172" s="6">
        <v>0.6834</v>
      </c>
      <c r="E172" s="6">
        <v>0.6825</v>
      </c>
      <c r="F172" s="6">
        <v>0.6832</v>
      </c>
      <c r="G172" s="6">
        <v>0.6496</v>
      </c>
      <c r="H172" s="6">
        <v>0.6759</v>
      </c>
      <c r="I172" s="6">
        <v>0.6701</v>
      </c>
      <c r="J172" s="6">
        <v>0.6862</v>
      </c>
      <c r="K172" s="6">
        <v>0.6349</v>
      </c>
      <c r="L172" s="6">
        <v>0.6757</v>
      </c>
      <c r="M172" s="6">
        <f t="shared" si="4"/>
        <v>0.67362</v>
      </c>
      <c r="N172" s="6">
        <f t="shared" si="5"/>
        <v>0.0181567740649171</v>
      </c>
    </row>
    <row r="173" spans="1:14">
      <c r="A173" s="5" t="s">
        <v>115</v>
      </c>
      <c r="B173" s="5" t="s">
        <v>187</v>
      </c>
      <c r="C173" s="6">
        <v>0.5997</v>
      </c>
      <c r="D173" s="6">
        <v>0.612</v>
      </c>
      <c r="E173" s="6">
        <v>0.6003</v>
      </c>
      <c r="F173" s="6">
        <v>0.6041</v>
      </c>
      <c r="G173" s="6">
        <v>0.6315</v>
      </c>
      <c r="H173" s="6">
        <v>0.6105</v>
      </c>
      <c r="I173" s="6">
        <v>0.6068</v>
      </c>
      <c r="J173" s="6">
        <v>0.6513</v>
      </c>
      <c r="K173" s="6">
        <v>0.6213</v>
      </c>
      <c r="L173" s="6">
        <v>0.5986</v>
      </c>
      <c r="M173" s="6">
        <f t="shared" si="4"/>
        <v>0.61361</v>
      </c>
      <c r="N173" s="6">
        <f t="shared" si="5"/>
        <v>0.0168151684169053</v>
      </c>
    </row>
    <row r="174" spans="1:14">
      <c r="A174" s="5" t="s">
        <v>115</v>
      </c>
      <c r="B174" s="5" t="s">
        <v>188</v>
      </c>
      <c r="C174" s="6">
        <v>0.5552</v>
      </c>
      <c r="D174" s="6">
        <v>0.5518</v>
      </c>
      <c r="E174" s="6">
        <v>0.5647</v>
      </c>
      <c r="F174" s="6">
        <v>0.5815</v>
      </c>
      <c r="G174" s="6">
        <v>0.555</v>
      </c>
      <c r="H174" s="6">
        <v>0.5905</v>
      </c>
      <c r="I174" s="6">
        <v>0.5576</v>
      </c>
      <c r="J174" s="6">
        <v>0.5817</v>
      </c>
      <c r="K174" s="6">
        <v>0.5707</v>
      </c>
      <c r="L174" s="6">
        <v>0.5792</v>
      </c>
      <c r="M174" s="6">
        <f t="shared" si="4"/>
        <v>0.56879</v>
      </c>
      <c r="N174" s="6">
        <f t="shared" si="5"/>
        <v>0.013812269103148</v>
      </c>
    </row>
    <row r="175" spans="1:14">
      <c r="A175" s="5" t="s">
        <v>115</v>
      </c>
      <c r="B175" s="5" t="s">
        <v>189</v>
      </c>
      <c r="C175" s="6">
        <v>0.488</v>
      </c>
      <c r="D175" s="6">
        <v>0.5281</v>
      </c>
      <c r="E175" s="6">
        <v>0.549</v>
      </c>
      <c r="F175" s="6">
        <v>0.4969</v>
      </c>
      <c r="G175" s="6">
        <v>0.5604</v>
      </c>
      <c r="H175" s="6">
        <v>0.5257</v>
      </c>
      <c r="I175" s="6">
        <v>0.5464</v>
      </c>
      <c r="J175" s="6">
        <v>0.5047</v>
      </c>
      <c r="K175" s="6">
        <v>0.5136</v>
      </c>
      <c r="L175" s="6">
        <v>0.5573</v>
      </c>
      <c r="M175" s="6">
        <f t="shared" si="4"/>
        <v>0.52701</v>
      </c>
      <c r="N175" s="6">
        <f t="shared" si="5"/>
        <v>0.0258215435462544</v>
      </c>
    </row>
    <row r="176" spans="1:14">
      <c r="A176" s="5" t="s">
        <v>115</v>
      </c>
      <c r="B176" s="5" t="s">
        <v>190</v>
      </c>
      <c r="C176" s="6">
        <v>0.7576</v>
      </c>
      <c r="D176" s="6">
        <v>0.6458</v>
      </c>
      <c r="E176" s="6">
        <v>0.7078</v>
      </c>
      <c r="F176" s="6">
        <v>0.7605</v>
      </c>
      <c r="G176" s="6">
        <v>0.6514</v>
      </c>
      <c r="H176" s="6">
        <v>0.7226</v>
      </c>
      <c r="I176" s="6">
        <v>0.7499</v>
      </c>
      <c r="J176" s="6">
        <v>0.7558</v>
      </c>
      <c r="K176" s="6">
        <v>0.7177</v>
      </c>
      <c r="L176" s="6">
        <v>0.739</v>
      </c>
      <c r="M176" s="6">
        <f t="shared" si="4"/>
        <v>0.72081</v>
      </c>
      <c r="N176" s="6">
        <f t="shared" si="5"/>
        <v>0.042106464270149</v>
      </c>
    </row>
    <row r="177" spans="1:14">
      <c r="A177" s="5" t="s">
        <v>115</v>
      </c>
      <c r="B177" s="5" t="s">
        <v>191</v>
      </c>
      <c r="C177" s="6">
        <v>0.4906</v>
      </c>
      <c r="D177" s="6">
        <v>0.5229</v>
      </c>
      <c r="E177" s="6">
        <v>0.5435</v>
      </c>
      <c r="F177" s="6">
        <v>0.4942</v>
      </c>
      <c r="G177" s="6">
        <v>0.4885</v>
      </c>
      <c r="H177" s="6">
        <v>0.4848</v>
      </c>
      <c r="I177" s="6">
        <v>0.5043</v>
      </c>
      <c r="J177" s="6">
        <v>0.4785</v>
      </c>
      <c r="K177" s="6">
        <v>0.4994</v>
      </c>
      <c r="L177" s="6">
        <v>0.5032</v>
      </c>
      <c r="M177" s="6">
        <f t="shared" si="4"/>
        <v>0.50099</v>
      </c>
      <c r="N177" s="6">
        <f t="shared" si="5"/>
        <v>0.0193892553292338</v>
      </c>
    </row>
    <row r="178" spans="1:14">
      <c r="A178" s="5" t="s">
        <v>115</v>
      </c>
      <c r="B178" s="5" t="s">
        <v>192</v>
      </c>
      <c r="C178" s="6">
        <v>0.5849</v>
      </c>
      <c r="D178" s="6">
        <v>0.5717</v>
      </c>
      <c r="E178" s="6">
        <v>0.5805</v>
      </c>
      <c r="F178" s="6">
        <v>0.5219</v>
      </c>
      <c r="G178" s="6">
        <v>0.5795</v>
      </c>
      <c r="H178" s="6">
        <v>0.5691</v>
      </c>
      <c r="I178" s="6">
        <v>0.5686</v>
      </c>
      <c r="J178" s="6">
        <v>0.5741</v>
      </c>
      <c r="K178" s="6">
        <v>0.5714</v>
      </c>
      <c r="L178" s="6">
        <v>0.5446</v>
      </c>
      <c r="M178" s="6">
        <f t="shared" si="4"/>
        <v>0.56663</v>
      </c>
      <c r="N178" s="6">
        <f t="shared" si="5"/>
        <v>0.0191257272919083</v>
      </c>
    </row>
    <row r="179" spans="1:14">
      <c r="A179" s="5" t="s">
        <v>115</v>
      </c>
      <c r="B179" s="5" t="s">
        <v>193</v>
      </c>
      <c r="C179" s="6">
        <v>0.6226</v>
      </c>
      <c r="D179" s="6">
        <v>0.611</v>
      </c>
      <c r="E179" s="6">
        <v>0.6027</v>
      </c>
      <c r="F179" s="6">
        <v>0.6185</v>
      </c>
      <c r="G179" s="6">
        <v>0.6434</v>
      </c>
      <c r="H179" s="6">
        <v>0.6213</v>
      </c>
      <c r="I179" s="6">
        <v>0.6218</v>
      </c>
      <c r="J179" s="6">
        <v>0.6359</v>
      </c>
      <c r="K179" s="6">
        <v>0.6186</v>
      </c>
      <c r="L179" s="6">
        <v>0.6177</v>
      </c>
      <c r="M179" s="6">
        <f t="shared" si="4"/>
        <v>0.62135</v>
      </c>
      <c r="N179" s="6">
        <f t="shared" si="5"/>
        <v>0.0114679505095239</v>
      </c>
    </row>
    <row r="180" spans="1:14">
      <c r="A180" s="5" t="s">
        <v>115</v>
      </c>
      <c r="B180" s="5" t="s">
        <v>194</v>
      </c>
      <c r="C180" s="6">
        <v>0.6622</v>
      </c>
      <c r="D180" s="6">
        <v>0.6166</v>
      </c>
      <c r="E180" s="6">
        <v>0.6326</v>
      </c>
      <c r="F180" s="6">
        <v>0.6393</v>
      </c>
      <c r="G180" s="6">
        <v>0.5743</v>
      </c>
      <c r="H180" s="6">
        <v>0.6522</v>
      </c>
      <c r="I180" s="6">
        <v>0.6646</v>
      </c>
      <c r="J180" s="6">
        <v>0.5702</v>
      </c>
      <c r="K180" s="6">
        <v>0.6189</v>
      </c>
      <c r="L180" s="6">
        <v>0.5576</v>
      </c>
      <c r="M180" s="6">
        <f t="shared" si="4"/>
        <v>0.61885</v>
      </c>
      <c r="N180" s="6">
        <f t="shared" si="5"/>
        <v>0.0391576940076915</v>
      </c>
    </row>
    <row r="181" spans="1:14">
      <c r="A181" s="5" t="s">
        <v>115</v>
      </c>
      <c r="B181" s="5" t="s">
        <v>195</v>
      </c>
      <c r="C181" s="6">
        <v>0.6223</v>
      </c>
      <c r="D181" s="6">
        <v>0.6275</v>
      </c>
      <c r="E181" s="6">
        <v>0.6317</v>
      </c>
      <c r="F181" s="6">
        <v>0.6094</v>
      </c>
      <c r="G181" s="6">
        <v>0.6016</v>
      </c>
      <c r="H181" s="6">
        <v>0.6097</v>
      </c>
      <c r="I181" s="6">
        <v>0.6225</v>
      </c>
      <c r="J181" s="6">
        <v>0.5841</v>
      </c>
      <c r="K181" s="6">
        <v>0.6573</v>
      </c>
      <c r="L181" s="6">
        <v>0.6284</v>
      </c>
      <c r="M181" s="6">
        <f t="shared" si="4"/>
        <v>0.61945</v>
      </c>
      <c r="N181" s="6">
        <f t="shared" si="5"/>
        <v>0.0197465186805168</v>
      </c>
    </row>
    <row r="182" spans="1:14">
      <c r="A182" s="5" t="s">
        <v>115</v>
      </c>
      <c r="B182" s="5" t="s">
        <v>196</v>
      </c>
      <c r="C182" s="6">
        <v>0.5243</v>
      </c>
      <c r="D182" s="6">
        <v>0.5677</v>
      </c>
      <c r="E182" s="6">
        <v>0.5691</v>
      </c>
      <c r="F182" s="6">
        <v>0.5852</v>
      </c>
      <c r="G182" s="6">
        <v>0.5366</v>
      </c>
      <c r="H182" s="6">
        <v>0.5888</v>
      </c>
      <c r="I182" s="6">
        <v>0.5416</v>
      </c>
      <c r="J182" s="6">
        <v>0.5914</v>
      </c>
      <c r="K182" s="6">
        <v>0.5304</v>
      </c>
      <c r="L182" s="6">
        <v>0.6103</v>
      </c>
      <c r="M182" s="6">
        <f t="shared" si="4"/>
        <v>0.56454</v>
      </c>
      <c r="N182" s="6">
        <f t="shared" si="5"/>
        <v>0.0297270621189216</v>
      </c>
    </row>
    <row r="183" spans="1:14">
      <c r="A183" s="5" t="s">
        <v>115</v>
      </c>
      <c r="B183" s="5" t="s">
        <v>197</v>
      </c>
      <c r="C183" s="6">
        <v>0.5404</v>
      </c>
      <c r="D183" s="6">
        <v>0.5168</v>
      </c>
      <c r="E183" s="6">
        <v>0.5281</v>
      </c>
      <c r="F183" s="6">
        <v>0.5032</v>
      </c>
      <c r="G183" s="6">
        <v>0.5248</v>
      </c>
      <c r="H183" s="6">
        <v>0.5369</v>
      </c>
      <c r="I183" s="6">
        <v>0.5351</v>
      </c>
      <c r="J183" s="6">
        <v>0.5541</v>
      </c>
      <c r="K183" s="6">
        <v>0.5264</v>
      </c>
      <c r="L183" s="6">
        <v>0.515</v>
      </c>
      <c r="M183" s="6">
        <f t="shared" si="4"/>
        <v>0.52808</v>
      </c>
      <c r="N183" s="6">
        <f t="shared" si="5"/>
        <v>0.0144791651079136</v>
      </c>
    </row>
    <row r="184" spans="1:14">
      <c r="A184" s="5" t="s">
        <v>115</v>
      </c>
      <c r="B184" s="5" t="s">
        <v>198</v>
      </c>
      <c r="C184" s="6">
        <v>0.5967</v>
      </c>
      <c r="D184" s="6">
        <v>0.5932</v>
      </c>
      <c r="E184" s="6">
        <v>0.6478</v>
      </c>
      <c r="F184" s="6">
        <v>0.5996</v>
      </c>
      <c r="G184" s="6">
        <v>0.6004</v>
      </c>
      <c r="H184" s="6">
        <v>0.6097</v>
      </c>
      <c r="I184" s="6">
        <v>0.5777</v>
      </c>
      <c r="J184" s="6">
        <v>0.6014</v>
      </c>
      <c r="K184" s="6">
        <v>0.6219</v>
      </c>
      <c r="L184" s="6">
        <v>0.6123</v>
      </c>
      <c r="M184" s="6">
        <f t="shared" si="4"/>
        <v>0.60607</v>
      </c>
      <c r="N184" s="6">
        <f t="shared" si="5"/>
        <v>0.0188505260757713</v>
      </c>
    </row>
    <row r="185" spans="1:14">
      <c r="A185" s="5" t="s">
        <v>115</v>
      </c>
      <c r="B185" s="5" t="s">
        <v>199</v>
      </c>
      <c r="C185" s="6">
        <v>0.6132</v>
      </c>
      <c r="D185" s="6">
        <v>0.6158</v>
      </c>
      <c r="E185" s="6">
        <v>0.6177</v>
      </c>
      <c r="F185" s="6">
        <v>0.599</v>
      </c>
      <c r="G185" s="6">
        <v>0.6305</v>
      </c>
      <c r="H185" s="6">
        <v>0.6344</v>
      </c>
      <c r="I185" s="6">
        <v>0.6552</v>
      </c>
      <c r="J185" s="6">
        <v>0.652</v>
      </c>
      <c r="K185" s="6">
        <v>0.5815</v>
      </c>
      <c r="L185" s="6">
        <v>0.6306</v>
      </c>
      <c r="M185" s="6">
        <f t="shared" si="4"/>
        <v>0.62299</v>
      </c>
      <c r="N185" s="6">
        <f t="shared" si="5"/>
        <v>0.0225980063034085</v>
      </c>
    </row>
    <row r="186" spans="1:14">
      <c r="A186" s="5" t="s">
        <v>115</v>
      </c>
      <c r="B186" s="5" t="s">
        <v>200</v>
      </c>
      <c r="C186" s="6">
        <v>0.5763</v>
      </c>
      <c r="D186" s="6">
        <v>0.5811</v>
      </c>
      <c r="E186" s="6">
        <v>0.5618</v>
      </c>
      <c r="F186" s="6">
        <v>0.5789</v>
      </c>
      <c r="G186" s="6">
        <v>0.5724</v>
      </c>
      <c r="H186" s="6">
        <v>0.5715</v>
      </c>
      <c r="I186" s="6">
        <v>0.5795</v>
      </c>
      <c r="J186" s="6">
        <v>0.5831</v>
      </c>
      <c r="K186" s="6">
        <v>0.5864</v>
      </c>
      <c r="L186" s="6">
        <v>0.5901</v>
      </c>
      <c r="M186" s="6">
        <f t="shared" si="4"/>
        <v>0.57811</v>
      </c>
      <c r="N186" s="6">
        <f t="shared" si="5"/>
        <v>0.00812724498899295</v>
      </c>
    </row>
    <row r="187" spans="1:14">
      <c r="A187" s="5" t="s">
        <v>115</v>
      </c>
      <c r="B187" s="5" t="s">
        <v>201</v>
      </c>
      <c r="C187" s="6">
        <v>0.5818</v>
      </c>
      <c r="D187" s="6">
        <v>0.5484</v>
      </c>
      <c r="E187" s="6">
        <v>0.5865</v>
      </c>
      <c r="F187" s="6">
        <v>0.5388</v>
      </c>
      <c r="G187" s="6">
        <v>0.536</v>
      </c>
      <c r="H187" s="6">
        <v>0.558</v>
      </c>
      <c r="I187" s="6">
        <v>0.5616</v>
      </c>
      <c r="J187" s="6">
        <v>0.5819</v>
      </c>
      <c r="K187" s="6">
        <v>0.5123</v>
      </c>
      <c r="L187" s="6">
        <v>0.5374</v>
      </c>
      <c r="M187" s="6">
        <f t="shared" si="4"/>
        <v>0.55427</v>
      </c>
      <c r="N187" s="6">
        <f t="shared" si="5"/>
        <v>0.0242243701901847</v>
      </c>
    </row>
    <row r="188" spans="1:14">
      <c r="A188" s="5" t="s">
        <v>115</v>
      </c>
      <c r="B188" s="5" t="s">
        <v>202</v>
      </c>
      <c r="C188" s="6">
        <v>0.5895</v>
      </c>
      <c r="D188" s="6">
        <v>0.6037</v>
      </c>
      <c r="E188" s="6">
        <v>0.6377</v>
      </c>
      <c r="F188" s="6">
        <v>0.5796</v>
      </c>
      <c r="G188" s="6">
        <v>0.615</v>
      </c>
      <c r="H188" s="6">
        <v>0.5933</v>
      </c>
      <c r="I188" s="6">
        <v>0.6021</v>
      </c>
      <c r="J188" s="6">
        <v>0.6035</v>
      </c>
      <c r="K188" s="6">
        <v>0.6215</v>
      </c>
      <c r="L188" s="6">
        <v>0.6146</v>
      </c>
      <c r="M188" s="6">
        <f t="shared" si="4"/>
        <v>0.60605</v>
      </c>
      <c r="N188" s="6">
        <f t="shared" si="5"/>
        <v>0.0168566669962428</v>
      </c>
    </row>
    <row r="189" spans="1:14">
      <c r="A189" s="5" t="s">
        <v>115</v>
      </c>
      <c r="B189" s="5" t="s">
        <v>203</v>
      </c>
      <c r="C189" s="6">
        <v>0.635</v>
      </c>
      <c r="D189" s="6">
        <v>0.7041</v>
      </c>
      <c r="E189" s="6">
        <v>0.6967</v>
      </c>
      <c r="F189" s="6">
        <v>0.6886</v>
      </c>
      <c r="G189" s="6">
        <v>0.6722</v>
      </c>
      <c r="H189" s="6">
        <v>0.6909</v>
      </c>
      <c r="I189" s="6">
        <v>0.6426</v>
      </c>
      <c r="J189" s="6">
        <v>0.661</v>
      </c>
      <c r="K189" s="6">
        <v>0.7083</v>
      </c>
      <c r="L189" s="6">
        <v>0.7267</v>
      </c>
      <c r="M189" s="6">
        <f t="shared" si="4"/>
        <v>0.68261</v>
      </c>
      <c r="N189" s="6">
        <f t="shared" si="5"/>
        <v>0.0294613287020272</v>
      </c>
    </row>
    <row r="190" spans="1:14">
      <c r="A190" s="5" t="s">
        <v>115</v>
      </c>
      <c r="B190" s="5" t="s">
        <v>204</v>
      </c>
      <c r="C190" s="6">
        <v>0.5497</v>
      </c>
      <c r="D190" s="6">
        <v>0.5476</v>
      </c>
      <c r="E190" s="6">
        <v>0.5257</v>
      </c>
      <c r="F190" s="6">
        <v>0.5494</v>
      </c>
      <c r="G190" s="6">
        <v>0.5297</v>
      </c>
      <c r="H190" s="6">
        <v>0.5392</v>
      </c>
      <c r="I190" s="6">
        <v>0.5503</v>
      </c>
      <c r="J190" s="6">
        <v>0.5392</v>
      </c>
      <c r="K190" s="6">
        <v>0.5604</v>
      </c>
      <c r="L190" s="6">
        <v>0.5375</v>
      </c>
      <c r="M190" s="6">
        <f t="shared" si="4"/>
        <v>0.54287</v>
      </c>
      <c r="N190" s="6">
        <f t="shared" si="5"/>
        <v>0.010531439703204</v>
      </c>
    </row>
    <row r="191" spans="1:14">
      <c r="A191" s="5" t="s">
        <v>115</v>
      </c>
      <c r="B191" s="5" t="s">
        <v>205</v>
      </c>
      <c r="C191" s="6">
        <v>0.5421</v>
      </c>
      <c r="D191" s="6">
        <v>0.5354</v>
      </c>
      <c r="E191" s="6">
        <v>0.5055</v>
      </c>
      <c r="F191" s="6">
        <v>0.5367</v>
      </c>
      <c r="G191" s="6">
        <v>0.5605</v>
      </c>
      <c r="H191" s="6">
        <v>0.5372</v>
      </c>
      <c r="I191" s="6">
        <v>0.5462</v>
      </c>
      <c r="J191" s="6">
        <v>0.5755</v>
      </c>
      <c r="K191" s="6">
        <v>0.5237</v>
      </c>
      <c r="L191" s="6">
        <v>0.5658</v>
      </c>
      <c r="M191" s="6">
        <f t="shared" si="4"/>
        <v>0.54286</v>
      </c>
      <c r="N191" s="6">
        <f t="shared" si="5"/>
        <v>0.0205562210102495</v>
      </c>
    </row>
    <row r="192" spans="1:14">
      <c r="A192" s="5" t="s">
        <v>115</v>
      </c>
      <c r="B192" s="5" t="s">
        <v>206</v>
      </c>
      <c r="C192" s="6">
        <v>0.6452</v>
      </c>
      <c r="D192" s="6">
        <v>0.6468</v>
      </c>
      <c r="E192" s="6">
        <v>0.6422</v>
      </c>
      <c r="F192" s="6">
        <v>0.6508</v>
      </c>
      <c r="G192" s="6">
        <v>0.6547</v>
      </c>
      <c r="H192" s="6">
        <v>0.6485</v>
      </c>
      <c r="I192" s="6">
        <v>0.6616</v>
      </c>
      <c r="J192" s="6">
        <v>0.6579</v>
      </c>
      <c r="K192" s="6">
        <v>0.6393</v>
      </c>
      <c r="L192" s="6">
        <v>0.6453</v>
      </c>
      <c r="M192" s="6">
        <f t="shared" si="4"/>
        <v>0.64923</v>
      </c>
      <c r="N192" s="6">
        <f t="shared" si="5"/>
        <v>0.0070452584527941</v>
      </c>
    </row>
    <row r="193" spans="1:14">
      <c r="A193" s="5" t="s">
        <v>115</v>
      </c>
      <c r="B193" s="5" t="s">
        <v>207</v>
      </c>
      <c r="C193" s="6">
        <v>0.6566</v>
      </c>
      <c r="D193" s="6">
        <v>0.6308</v>
      </c>
      <c r="E193" s="6">
        <v>0.6542</v>
      </c>
      <c r="F193" s="6">
        <v>0.6461</v>
      </c>
      <c r="G193" s="6">
        <v>0.6561</v>
      </c>
      <c r="H193" s="6">
        <v>0.6466</v>
      </c>
      <c r="I193" s="6">
        <v>0.6512</v>
      </c>
      <c r="J193" s="6">
        <v>0.6584</v>
      </c>
      <c r="K193" s="6">
        <v>0.6461</v>
      </c>
      <c r="L193" s="6">
        <v>0.6439</v>
      </c>
      <c r="M193" s="6">
        <f t="shared" si="4"/>
        <v>0.649</v>
      </c>
      <c r="N193" s="6">
        <f t="shared" si="5"/>
        <v>0.00822084072478126</v>
      </c>
    </row>
    <row r="194" spans="1:14">
      <c r="A194" s="5" t="s">
        <v>115</v>
      </c>
      <c r="B194" s="5" t="s">
        <v>208</v>
      </c>
      <c r="C194" s="6">
        <v>0.6535</v>
      </c>
      <c r="D194" s="6">
        <v>0.651</v>
      </c>
      <c r="E194" s="6">
        <v>0.641</v>
      </c>
      <c r="F194" s="6">
        <v>0.644</v>
      </c>
      <c r="G194" s="6">
        <v>0.6517</v>
      </c>
      <c r="H194" s="6">
        <v>0.6552</v>
      </c>
      <c r="I194" s="6">
        <v>0.6479</v>
      </c>
      <c r="J194" s="6">
        <v>0.6586</v>
      </c>
      <c r="K194" s="6">
        <v>0.6537</v>
      </c>
      <c r="L194" s="6">
        <v>0.6446</v>
      </c>
      <c r="M194" s="6">
        <f t="shared" ref="M194:M257" si="6">AVERAGE(C194:L194)</f>
        <v>0.65012</v>
      </c>
      <c r="N194" s="6">
        <f t="shared" ref="N194:N257" si="7">_xlfn.STDEV.S(C194:L194)</f>
        <v>0.00559022957191085</v>
      </c>
    </row>
    <row r="195" spans="1:14">
      <c r="A195" s="5" t="s">
        <v>115</v>
      </c>
      <c r="B195" s="5" t="s">
        <v>209</v>
      </c>
      <c r="C195" s="6">
        <v>0.5938</v>
      </c>
      <c r="D195" s="6">
        <v>0.6237</v>
      </c>
      <c r="E195" s="6">
        <v>0.6333</v>
      </c>
      <c r="F195" s="6">
        <v>0.6253</v>
      </c>
      <c r="G195" s="6">
        <v>0.6275</v>
      </c>
      <c r="H195" s="6">
        <v>0.6018</v>
      </c>
      <c r="I195" s="6">
        <v>0.6057</v>
      </c>
      <c r="J195" s="6">
        <v>0.6662</v>
      </c>
      <c r="K195" s="6">
        <v>0.6176</v>
      </c>
      <c r="L195" s="6">
        <v>0.628</v>
      </c>
      <c r="M195" s="6">
        <f t="shared" si="6"/>
        <v>0.62229</v>
      </c>
      <c r="N195" s="6">
        <f t="shared" si="7"/>
        <v>0.0201352344577029</v>
      </c>
    </row>
    <row r="196" spans="1:14">
      <c r="A196" s="5" t="s">
        <v>115</v>
      </c>
      <c r="B196" s="5" t="s">
        <v>210</v>
      </c>
      <c r="C196" s="6">
        <v>0.6538</v>
      </c>
      <c r="D196" s="6">
        <v>0.6222</v>
      </c>
      <c r="E196" s="6">
        <v>0.6303</v>
      </c>
      <c r="F196" s="6">
        <v>0.6226</v>
      </c>
      <c r="G196" s="6">
        <v>0.6368</v>
      </c>
      <c r="H196" s="6">
        <v>0.6248</v>
      </c>
      <c r="I196" s="6">
        <v>0.605</v>
      </c>
      <c r="J196" s="6">
        <v>0.6121</v>
      </c>
      <c r="K196" s="6">
        <v>0.6192</v>
      </c>
      <c r="L196" s="6">
        <v>0.6133</v>
      </c>
      <c r="M196" s="6">
        <f t="shared" si="6"/>
        <v>0.62401</v>
      </c>
      <c r="N196" s="6">
        <f t="shared" si="7"/>
        <v>0.0138946392540433</v>
      </c>
    </row>
    <row r="197" spans="1:14">
      <c r="A197" s="5" t="s">
        <v>115</v>
      </c>
      <c r="B197" s="5" t="s">
        <v>211</v>
      </c>
      <c r="C197" s="6">
        <v>0.6304</v>
      </c>
      <c r="D197" s="6">
        <v>0.6186</v>
      </c>
      <c r="E197" s="6">
        <v>0.6245</v>
      </c>
      <c r="F197" s="6">
        <v>0.6129</v>
      </c>
      <c r="G197" s="6">
        <v>0.6398</v>
      </c>
      <c r="H197" s="6">
        <v>0.6089</v>
      </c>
      <c r="I197" s="6">
        <v>0.6236</v>
      </c>
      <c r="J197" s="6">
        <v>0.6241</v>
      </c>
      <c r="K197" s="6">
        <v>0.6258</v>
      </c>
      <c r="L197" s="6">
        <v>0.6542</v>
      </c>
      <c r="M197" s="6">
        <f t="shared" si="6"/>
        <v>0.62628</v>
      </c>
      <c r="N197" s="6">
        <f t="shared" si="7"/>
        <v>0.0130583987447841</v>
      </c>
    </row>
    <row r="198" spans="1:14">
      <c r="A198" s="5" t="s">
        <v>115</v>
      </c>
      <c r="B198" s="5" t="s">
        <v>212</v>
      </c>
      <c r="C198" s="6">
        <v>0.614</v>
      </c>
      <c r="D198" s="6">
        <v>0.6248</v>
      </c>
      <c r="E198" s="6">
        <v>0.603</v>
      </c>
      <c r="F198" s="6">
        <v>0.6159</v>
      </c>
      <c r="G198" s="6">
        <v>0.6529</v>
      </c>
      <c r="H198" s="6">
        <v>0.6337</v>
      </c>
      <c r="I198" s="6">
        <v>0.672</v>
      </c>
      <c r="J198" s="6">
        <v>0.621</v>
      </c>
      <c r="K198" s="6">
        <v>0.6315</v>
      </c>
      <c r="L198" s="6">
        <v>0.6207</v>
      </c>
      <c r="M198" s="6">
        <f t="shared" si="6"/>
        <v>0.62895</v>
      </c>
      <c r="N198" s="6">
        <f t="shared" si="7"/>
        <v>0.0201980884684115</v>
      </c>
    </row>
    <row r="199" spans="1:14">
      <c r="A199" s="5" t="s">
        <v>115</v>
      </c>
      <c r="B199" s="5" t="s">
        <v>213</v>
      </c>
      <c r="C199" s="6">
        <v>0.6241</v>
      </c>
      <c r="D199" s="6">
        <v>0.6365</v>
      </c>
      <c r="E199" s="6">
        <v>0.6359</v>
      </c>
      <c r="F199" s="6">
        <v>0.6335</v>
      </c>
      <c r="G199" s="6">
        <v>0.6793</v>
      </c>
      <c r="H199" s="6">
        <v>0.6677</v>
      </c>
      <c r="I199" s="6">
        <v>0.632</v>
      </c>
      <c r="J199" s="6">
        <v>0.6357</v>
      </c>
      <c r="K199" s="6">
        <v>0.653</v>
      </c>
      <c r="L199" s="6">
        <v>0.6316</v>
      </c>
      <c r="M199" s="6">
        <f t="shared" si="6"/>
        <v>0.64293</v>
      </c>
      <c r="N199" s="6">
        <f t="shared" si="7"/>
        <v>0.0178639954470811</v>
      </c>
    </row>
    <row r="200" spans="1:14">
      <c r="A200" s="5" t="s">
        <v>115</v>
      </c>
      <c r="B200" s="5" t="s">
        <v>214</v>
      </c>
      <c r="C200" s="6">
        <v>0.6623</v>
      </c>
      <c r="D200" s="6">
        <v>0.6347</v>
      </c>
      <c r="E200" s="6">
        <v>0.5779</v>
      </c>
      <c r="F200" s="6">
        <v>0.6237</v>
      </c>
      <c r="G200" s="6">
        <v>0.6112</v>
      </c>
      <c r="H200" s="6">
        <v>0.636</v>
      </c>
      <c r="I200" s="6">
        <v>0.6108</v>
      </c>
      <c r="J200" s="6">
        <v>0.6167</v>
      </c>
      <c r="K200" s="6">
        <v>0.6286</v>
      </c>
      <c r="L200" s="6">
        <v>0.6077</v>
      </c>
      <c r="M200" s="6">
        <f t="shared" si="6"/>
        <v>0.62096</v>
      </c>
      <c r="N200" s="6">
        <f t="shared" si="7"/>
        <v>0.0222023121919017</v>
      </c>
    </row>
    <row r="201" spans="1:14">
      <c r="A201" s="5" t="s">
        <v>115</v>
      </c>
      <c r="B201" s="5" t="s">
        <v>215</v>
      </c>
      <c r="C201" s="6">
        <v>0.2793</v>
      </c>
      <c r="D201" s="6">
        <v>0.2785</v>
      </c>
      <c r="E201" s="6">
        <v>0.3042</v>
      </c>
      <c r="F201" s="6">
        <v>0.2927</v>
      </c>
      <c r="G201" s="6">
        <v>0.2888</v>
      </c>
      <c r="H201" s="6">
        <v>0.3043</v>
      </c>
      <c r="I201" s="6">
        <v>0.3039</v>
      </c>
      <c r="J201" s="6">
        <v>0.2968</v>
      </c>
      <c r="K201" s="6">
        <v>0.2888</v>
      </c>
      <c r="L201" s="6">
        <v>0.2958</v>
      </c>
      <c r="M201" s="6">
        <f t="shared" si="6"/>
        <v>0.29331</v>
      </c>
      <c r="N201" s="6">
        <f t="shared" si="7"/>
        <v>0.00958337101441868</v>
      </c>
    </row>
    <row r="202" spans="1:14">
      <c r="A202" s="5" t="s">
        <v>216</v>
      </c>
      <c r="B202" s="5" t="s">
        <v>217</v>
      </c>
      <c r="C202" s="6">
        <v>0.5778</v>
      </c>
      <c r="D202" s="6">
        <v>0.5887</v>
      </c>
      <c r="E202" s="6">
        <v>0.5607</v>
      </c>
      <c r="F202" s="6">
        <v>0.5949</v>
      </c>
      <c r="G202" s="6">
        <v>0.5879</v>
      </c>
      <c r="H202" s="6">
        <v>0.6187</v>
      </c>
      <c r="I202" s="6">
        <v>0.5792</v>
      </c>
      <c r="J202" s="6">
        <v>0.5911</v>
      </c>
      <c r="K202" s="6">
        <v>0.5593</v>
      </c>
      <c r="L202" s="6">
        <v>0.6473</v>
      </c>
      <c r="M202" s="6">
        <f t="shared" si="6"/>
        <v>0.59056</v>
      </c>
      <c r="N202" s="6">
        <f t="shared" si="7"/>
        <v>0.0262501301584075</v>
      </c>
    </row>
    <row r="203" spans="1:14">
      <c r="A203" s="5" t="s">
        <v>216</v>
      </c>
      <c r="B203" s="5" t="s">
        <v>218</v>
      </c>
      <c r="C203" s="6">
        <v>0.5883</v>
      </c>
      <c r="D203" s="6">
        <v>0.5863</v>
      </c>
      <c r="E203" s="6">
        <v>0.6184</v>
      </c>
      <c r="F203" s="6">
        <v>0.6112</v>
      </c>
      <c r="G203" s="6">
        <v>0.5791</v>
      </c>
      <c r="H203" s="6">
        <v>0.6265</v>
      </c>
      <c r="I203" s="6">
        <v>0.5933</v>
      </c>
      <c r="J203" s="6">
        <v>0.6099</v>
      </c>
      <c r="K203" s="6">
        <v>0.5778</v>
      </c>
      <c r="L203" s="6">
        <v>0.5666</v>
      </c>
      <c r="M203" s="6">
        <f t="shared" si="6"/>
        <v>0.59574</v>
      </c>
      <c r="N203" s="6">
        <f t="shared" si="7"/>
        <v>0.0197131202784113</v>
      </c>
    </row>
    <row r="204" spans="1:14">
      <c r="A204" s="5" t="s">
        <v>216</v>
      </c>
      <c r="B204" s="5" t="s">
        <v>219</v>
      </c>
      <c r="C204" s="6">
        <v>0.6146</v>
      </c>
      <c r="D204" s="6">
        <v>0.5911</v>
      </c>
      <c r="E204" s="6">
        <v>0.5818</v>
      </c>
      <c r="F204" s="6">
        <v>0.5889</v>
      </c>
      <c r="G204" s="6">
        <v>0.5969</v>
      </c>
      <c r="H204" s="6">
        <v>0.5884</v>
      </c>
      <c r="I204" s="6">
        <v>0.5861</v>
      </c>
      <c r="J204" s="6">
        <v>0.613</v>
      </c>
      <c r="K204" s="6">
        <v>0.6074</v>
      </c>
      <c r="L204" s="6">
        <v>0.5933</v>
      </c>
      <c r="M204" s="6">
        <f t="shared" si="6"/>
        <v>0.59615</v>
      </c>
      <c r="N204" s="6">
        <f t="shared" si="7"/>
        <v>0.0115692360258672</v>
      </c>
    </row>
    <row r="205" spans="1:14">
      <c r="A205" s="5" t="s">
        <v>216</v>
      </c>
      <c r="B205" s="5" t="s">
        <v>220</v>
      </c>
      <c r="C205" s="6">
        <v>0.5322</v>
      </c>
      <c r="D205" s="6">
        <v>0.5322</v>
      </c>
      <c r="E205" s="6">
        <v>0.5457</v>
      </c>
      <c r="F205" s="6">
        <v>0.5239</v>
      </c>
      <c r="G205" s="6">
        <v>0.5582</v>
      </c>
      <c r="H205" s="6">
        <v>0.5326</v>
      </c>
      <c r="I205" s="6">
        <v>0.5513</v>
      </c>
      <c r="J205" s="6">
        <v>0.5438</v>
      </c>
      <c r="K205" s="6">
        <v>0.5466</v>
      </c>
      <c r="L205" s="6">
        <v>0.5463</v>
      </c>
      <c r="M205" s="6">
        <f t="shared" si="6"/>
        <v>0.54128</v>
      </c>
      <c r="N205" s="6">
        <f t="shared" si="7"/>
        <v>0.0105849788746968</v>
      </c>
    </row>
    <row r="206" spans="1:14">
      <c r="A206" s="5" t="s">
        <v>216</v>
      </c>
      <c r="B206" s="5" t="s">
        <v>221</v>
      </c>
      <c r="C206" s="6">
        <v>0.559</v>
      </c>
      <c r="D206" s="6">
        <v>0.5383</v>
      </c>
      <c r="E206" s="6">
        <v>0.5395</v>
      </c>
      <c r="F206" s="6">
        <v>0.5443</v>
      </c>
      <c r="G206" s="6">
        <v>0.5454</v>
      </c>
      <c r="H206" s="6">
        <v>0.5519</v>
      </c>
      <c r="I206" s="6">
        <v>0.5506</v>
      </c>
      <c r="J206" s="6">
        <v>0.5491</v>
      </c>
      <c r="K206" s="6">
        <v>0.5564</v>
      </c>
      <c r="L206" s="6">
        <v>0.5478</v>
      </c>
      <c r="M206" s="6">
        <f t="shared" si="6"/>
        <v>0.54823</v>
      </c>
      <c r="N206" s="6">
        <f t="shared" si="7"/>
        <v>0.00667533602982736</v>
      </c>
    </row>
    <row r="207" spans="1:14">
      <c r="A207" s="5" t="s">
        <v>216</v>
      </c>
      <c r="B207" s="5" t="s">
        <v>222</v>
      </c>
      <c r="C207" s="6">
        <v>0.5206</v>
      </c>
      <c r="D207" s="6">
        <v>0.5634</v>
      </c>
      <c r="E207" s="6">
        <v>0.5229</v>
      </c>
      <c r="F207" s="6">
        <v>0.5215</v>
      </c>
      <c r="G207" s="6">
        <v>0.5635</v>
      </c>
      <c r="H207" s="6">
        <v>0.518</v>
      </c>
      <c r="I207" s="6">
        <v>0.5377</v>
      </c>
      <c r="J207" s="6">
        <v>0.5542</v>
      </c>
      <c r="K207" s="6">
        <v>0.5366</v>
      </c>
      <c r="L207" s="6">
        <v>0.5335</v>
      </c>
      <c r="M207" s="6">
        <f t="shared" si="6"/>
        <v>0.53719</v>
      </c>
      <c r="N207" s="6">
        <f t="shared" si="7"/>
        <v>0.0175645128344373</v>
      </c>
    </row>
    <row r="208" spans="1:14">
      <c r="A208" s="5" t="s">
        <v>216</v>
      </c>
      <c r="B208" s="5" t="s">
        <v>223</v>
      </c>
      <c r="C208" s="6">
        <v>0.5357</v>
      </c>
      <c r="D208" s="6">
        <v>0.5488</v>
      </c>
      <c r="E208" s="6">
        <v>0.5338</v>
      </c>
      <c r="F208" s="6">
        <v>0.5103</v>
      </c>
      <c r="G208" s="6">
        <v>0.5486</v>
      </c>
      <c r="H208" s="6">
        <v>0.5424</v>
      </c>
      <c r="I208" s="6">
        <v>0.5537</v>
      </c>
      <c r="J208" s="6">
        <v>0.5294</v>
      </c>
      <c r="K208" s="6">
        <v>0.5522</v>
      </c>
      <c r="L208" s="6">
        <v>0.5299</v>
      </c>
      <c r="M208" s="6">
        <f t="shared" si="6"/>
        <v>0.53848</v>
      </c>
      <c r="N208" s="6">
        <f t="shared" si="7"/>
        <v>0.0134328618610398</v>
      </c>
    </row>
    <row r="209" spans="1:14">
      <c r="A209" s="5" t="s">
        <v>216</v>
      </c>
      <c r="B209" s="5" t="s">
        <v>224</v>
      </c>
      <c r="C209" s="6">
        <v>0.6311</v>
      </c>
      <c r="D209" s="6">
        <v>0.627</v>
      </c>
      <c r="E209" s="6">
        <v>0.6556</v>
      </c>
      <c r="F209" s="6">
        <v>0.6218</v>
      </c>
      <c r="G209" s="6">
        <v>0.6312</v>
      </c>
      <c r="H209" s="6">
        <v>0.6497</v>
      </c>
      <c r="I209" s="6">
        <v>0.6326</v>
      </c>
      <c r="J209" s="6">
        <v>0.6248</v>
      </c>
      <c r="K209" s="6">
        <v>0.6316</v>
      </c>
      <c r="L209" s="6">
        <v>0.6545</v>
      </c>
      <c r="M209" s="6">
        <f t="shared" si="6"/>
        <v>0.63599</v>
      </c>
      <c r="N209" s="6">
        <f t="shared" si="7"/>
        <v>0.012472854970339</v>
      </c>
    </row>
    <row r="210" spans="1:14">
      <c r="A210" s="5" t="s">
        <v>216</v>
      </c>
      <c r="B210" s="5" t="s">
        <v>225</v>
      </c>
      <c r="C210" s="6">
        <v>0.5375</v>
      </c>
      <c r="D210" s="6">
        <v>0.5557</v>
      </c>
      <c r="E210" s="6">
        <v>0.544</v>
      </c>
      <c r="F210" s="6">
        <v>0.5292</v>
      </c>
      <c r="G210" s="6">
        <v>0.5388</v>
      </c>
      <c r="H210" s="6">
        <v>0.5692</v>
      </c>
      <c r="I210" s="6">
        <v>0.5423</v>
      </c>
      <c r="J210" s="6">
        <v>0.5656</v>
      </c>
      <c r="K210" s="6">
        <v>0.5524</v>
      </c>
      <c r="L210" s="6">
        <v>0.5264</v>
      </c>
      <c r="M210" s="6">
        <f t="shared" si="6"/>
        <v>0.54611</v>
      </c>
      <c r="N210" s="6">
        <f t="shared" si="7"/>
        <v>0.0143971795077292</v>
      </c>
    </row>
    <row r="211" spans="1:14">
      <c r="A211" s="5" t="s">
        <v>216</v>
      </c>
      <c r="B211" s="5" t="s">
        <v>226</v>
      </c>
      <c r="C211" s="6">
        <v>0.5647</v>
      </c>
      <c r="D211" s="6">
        <v>0.529</v>
      </c>
      <c r="E211" s="6">
        <v>0.5123</v>
      </c>
      <c r="F211" s="6">
        <v>0.5323</v>
      </c>
      <c r="G211" s="6">
        <v>0.5602</v>
      </c>
      <c r="H211" s="6">
        <v>0.5499</v>
      </c>
      <c r="I211" s="6">
        <v>0.5485</v>
      </c>
      <c r="J211" s="6">
        <v>0.5443</v>
      </c>
      <c r="K211" s="6">
        <v>0.5727</v>
      </c>
      <c r="L211" s="6">
        <v>0.5333</v>
      </c>
      <c r="M211" s="6">
        <f t="shared" si="6"/>
        <v>0.54472</v>
      </c>
      <c r="N211" s="6">
        <f t="shared" si="7"/>
        <v>0.0183964247734293</v>
      </c>
    </row>
    <row r="212" spans="1:14">
      <c r="A212" s="5" t="s">
        <v>216</v>
      </c>
      <c r="B212" s="5" t="s">
        <v>227</v>
      </c>
      <c r="C212" s="6">
        <v>0.7175</v>
      </c>
      <c r="D212" s="6">
        <v>0.7142</v>
      </c>
      <c r="E212" s="6">
        <v>0.7168</v>
      </c>
      <c r="F212" s="6">
        <v>0.7144</v>
      </c>
      <c r="G212" s="6">
        <v>0.7136</v>
      </c>
      <c r="H212" s="6">
        <v>0.7158</v>
      </c>
      <c r="I212" s="6">
        <v>0.7189</v>
      </c>
      <c r="J212" s="6">
        <v>0.7172</v>
      </c>
      <c r="K212" s="6">
        <v>0.7181</v>
      </c>
      <c r="L212" s="6">
        <v>0.7153</v>
      </c>
      <c r="M212" s="6">
        <f t="shared" si="6"/>
        <v>0.71618</v>
      </c>
      <c r="N212" s="6">
        <f t="shared" si="7"/>
        <v>0.00179245331567906</v>
      </c>
    </row>
    <row r="213" spans="1:14">
      <c r="A213" s="5" t="s">
        <v>216</v>
      </c>
      <c r="B213" s="5" t="s">
        <v>228</v>
      </c>
      <c r="C213" s="6">
        <v>0.8008</v>
      </c>
      <c r="D213" s="6">
        <v>0.8068</v>
      </c>
      <c r="E213" s="6">
        <v>0.8018</v>
      </c>
      <c r="F213" s="6">
        <v>0.8043</v>
      </c>
      <c r="G213" s="6">
        <v>0.8058</v>
      </c>
      <c r="H213" s="6">
        <v>0.7993</v>
      </c>
      <c r="I213" s="6">
        <v>0.7998</v>
      </c>
      <c r="J213" s="6">
        <v>0.8084</v>
      </c>
      <c r="K213" s="6">
        <v>0.8019</v>
      </c>
      <c r="L213" s="6">
        <v>0.8027</v>
      </c>
      <c r="M213" s="6">
        <f t="shared" si="6"/>
        <v>0.80316</v>
      </c>
      <c r="N213" s="6">
        <f t="shared" si="7"/>
        <v>0.00306202547344075</v>
      </c>
    </row>
    <row r="214" spans="1:14">
      <c r="A214" s="5" t="s">
        <v>216</v>
      </c>
      <c r="B214" s="5" t="s">
        <v>229</v>
      </c>
      <c r="C214" s="6">
        <v>0.6649</v>
      </c>
      <c r="D214" s="6">
        <v>0.6606</v>
      </c>
      <c r="E214" s="6">
        <v>0.6612</v>
      </c>
      <c r="F214" s="6">
        <v>0.6634</v>
      </c>
      <c r="G214" s="6">
        <v>0.6656</v>
      </c>
      <c r="H214" s="6">
        <v>0.6646</v>
      </c>
      <c r="I214" s="6">
        <v>0.6539</v>
      </c>
      <c r="J214" s="6">
        <v>0.6633</v>
      </c>
      <c r="K214" s="6">
        <v>0.6607</v>
      </c>
      <c r="L214" s="6">
        <v>0.646</v>
      </c>
      <c r="M214" s="6">
        <f t="shared" si="6"/>
        <v>0.66042</v>
      </c>
      <c r="N214" s="6">
        <f t="shared" si="7"/>
        <v>0.00608016812633041</v>
      </c>
    </row>
    <row r="215" spans="1:14">
      <c r="A215" s="5" t="s">
        <v>216</v>
      </c>
      <c r="B215" s="5" t="s">
        <v>230</v>
      </c>
      <c r="C215" s="6">
        <v>0.625</v>
      </c>
      <c r="D215" s="6">
        <v>0.6178</v>
      </c>
      <c r="E215" s="6">
        <v>0.6176</v>
      </c>
      <c r="F215" s="6">
        <v>0.6139</v>
      </c>
      <c r="G215" s="6">
        <v>0.6166</v>
      </c>
      <c r="H215" s="6">
        <v>0.6077</v>
      </c>
      <c r="I215" s="6">
        <v>0.6195</v>
      </c>
      <c r="J215" s="6">
        <v>0.6047</v>
      </c>
      <c r="K215" s="6">
        <v>0.6259</v>
      </c>
      <c r="L215" s="6">
        <v>0.6051</v>
      </c>
      <c r="M215" s="6">
        <f t="shared" si="6"/>
        <v>0.61538</v>
      </c>
      <c r="N215" s="6">
        <f t="shared" si="7"/>
        <v>0.00755260072940294</v>
      </c>
    </row>
    <row r="216" spans="1:14">
      <c r="A216" s="5" t="s">
        <v>216</v>
      </c>
      <c r="B216" s="5" t="s">
        <v>231</v>
      </c>
      <c r="C216" s="6">
        <v>0.63</v>
      </c>
      <c r="D216" s="6">
        <v>0.6727</v>
      </c>
      <c r="E216" s="6">
        <v>0.68</v>
      </c>
      <c r="F216" s="6">
        <v>0.6426</v>
      </c>
      <c r="G216" s="6">
        <v>0.653</v>
      </c>
      <c r="H216" s="6">
        <v>0.6418</v>
      </c>
      <c r="I216" s="6">
        <v>0.6586</v>
      </c>
      <c r="J216" s="6">
        <v>0.6614</v>
      </c>
      <c r="K216" s="6">
        <v>0.6847</v>
      </c>
      <c r="L216" s="6">
        <v>0.654</v>
      </c>
      <c r="M216" s="6">
        <f t="shared" si="6"/>
        <v>0.65788</v>
      </c>
      <c r="N216" s="6">
        <f t="shared" si="7"/>
        <v>0.0174781005833014</v>
      </c>
    </row>
    <row r="217" spans="1:14">
      <c r="A217" s="5" t="s">
        <v>216</v>
      </c>
      <c r="B217" s="5" t="s">
        <v>232</v>
      </c>
      <c r="C217" s="6">
        <v>0.5641</v>
      </c>
      <c r="D217" s="6">
        <v>0.578</v>
      </c>
      <c r="E217" s="6">
        <v>0.5611</v>
      </c>
      <c r="F217" s="6">
        <v>0.5735</v>
      </c>
      <c r="G217" s="6">
        <v>0.6092</v>
      </c>
      <c r="H217" s="6">
        <v>0.5785</v>
      </c>
      <c r="I217" s="6">
        <v>0.5488</v>
      </c>
      <c r="J217" s="6">
        <v>0.5679</v>
      </c>
      <c r="K217" s="6">
        <v>0.5449</v>
      </c>
      <c r="L217" s="6">
        <v>0.5993</v>
      </c>
      <c r="M217" s="6">
        <f t="shared" si="6"/>
        <v>0.57253</v>
      </c>
      <c r="N217" s="6">
        <f t="shared" si="7"/>
        <v>0.0202141342189623</v>
      </c>
    </row>
    <row r="218" spans="1:14">
      <c r="A218" s="5" t="s">
        <v>216</v>
      </c>
      <c r="B218" s="5" t="s">
        <v>233</v>
      </c>
      <c r="C218" s="6">
        <v>0.4852</v>
      </c>
      <c r="D218" s="6">
        <v>0.4991</v>
      </c>
      <c r="E218" s="6">
        <v>0.508</v>
      </c>
      <c r="F218" s="6">
        <v>0.5292</v>
      </c>
      <c r="G218" s="6">
        <v>0.4964</v>
      </c>
      <c r="H218" s="6">
        <v>0.5074</v>
      </c>
      <c r="I218" s="6">
        <v>0.4858</v>
      </c>
      <c r="J218" s="6">
        <v>0.4921</v>
      </c>
      <c r="K218" s="6">
        <v>0.5023</v>
      </c>
      <c r="L218" s="6">
        <v>0.5179</v>
      </c>
      <c r="M218" s="6">
        <f t="shared" si="6"/>
        <v>0.50234</v>
      </c>
      <c r="N218" s="6">
        <f t="shared" si="7"/>
        <v>0.0139012549393531</v>
      </c>
    </row>
    <row r="219" spans="1:14">
      <c r="A219" s="5" t="s">
        <v>216</v>
      </c>
      <c r="B219" s="5" t="s">
        <v>234</v>
      </c>
      <c r="C219" s="6">
        <v>0.6403</v>
      </c>
      <c r="D219" s="6">
        <v>0.6593</v>
      </c>
      <c r="E219" s="6">
        <v>0.636</v>
      </c>
      <c r="F219" s="6">
        <v>0.6435</v>
      </c>
      <c r="G219" s="6">
        <v>0.6339</v>
      </c>
      <c r="H219" s="6">
        <v>0.6435</v>
      </c>
      <c r="I219" s="6">
        <v>0.6348</v>
      </c>
      <c r="J219" s="6">
        <v>0.6328</v>
      </c>
      <c r="K219" s="6">
        <v>0.6296</v>
      </c>
      <c r="L219" s="6">
        <v>0.6248</v>
      </c>
      <c r="M219" s="6">
        <f t="shared" si="6"/>
        <v>0.63785</v>
      </c>
      <c r="N219" s="6">
        <f t="shared" si="7"/>
        <v>0.00955769033001405</v>
      </c>
    </row>
    <row r="220" spans="1:14">
      <c r="A220" s="5" t="s">
        <v>216</v>
      </c>
      <c r="B220" s="5" t="s">
        <v>235</v>
      </c>
      <c r="C220" s="6">
        <v>0.6463</v>
      </c>
      <c r="D220" s="6">
        <v>0.6458</v>
      </c>
      <c r="E220" s="6">
        <v>0.6456</v>
      </c>
      <c r="F220" s="6">
        <v>0.6406</v>
      </c>
      <c r="G220" s="6">
        <v>0.6403</v>
      </c>
      <c r="H220" s="6">
        <v>0.6405</v>
      </c>
      <c r="I220" s="6">
        <v>0.6508</v>
      </c>
      <c r="J220" s="6">
        <v>0.6392</v>
      </c>
      <c r="K220" s="6">
        <v>0.643</v>
      </c>
      <c r="L220" s="6">
        <v>0.6458</v>
      </c>
      <c r="M220" s="6">
        <f t="shared" si="6"/>
        <v>0.64379</v>
      </c>
      <c r="N220" s="6">
        <f t="shared" si="7"/>
        <v>0.00367678905810191</v>
      </c>
    </row>
    <row r="221" spans="1:14">
      <c r="A221" s="5" t="s">
        <v>216</v>
      </c>
      <c r="B221" s="5" t="s">
        <v>236</v>
      </c>
      <c r="C221" s="6">
        <v>0.8123</v>
      </c>
      <c r="D221" s="6">
        <v>0.8096</v>
      </c>
      <c r="E221" s="6">
        <v>0.8113</v>
      </c>
      <c r="F221" s="6">
        <v>0.8086</v>
      </c>
      <c r="G221" s="6">
        <v>0.8106</v>
      </c>
      <c r="H221" s="6">
        <v>0.808</v>
      </c>
      <c r="I221" s="6">
        <v>0.8137</v>
      </c>
      <c r="J221" s="6">
        <v>0.8083</v>
      </c>
      <c r="K221" s="6">
        <v>0.8141</v>
      </c>
      <c r="L221" s="6">
        <v>0.8118</v>
      </c>
      <c r="M221" s="6">
        <f t="shared" si="6"/>
        <v>0.81083</v>
      </c>
      <c r="N221" s="6">
        <f t="shared" si="7"/>
        <v>0.00219091558739973</v>
      </c>
    </row>
    <row r="222" spans="1:14">
      <c r="A222" s="5" t="s">
        <v>216</v>
      </c>
      <c r="B222" s="5" t="s">
        <v>237</v>
      </c>
      <c r="C222" s="6">
        <v>0.8102</v>
      </c>
      <c r="D222" s="6">
        <v>0.8055</v>
      </c>
      <c r="E222" s="6">
        <v>0.809</v>
      </c>
      <c r="F222" s="6">
        <v>0.8081</v>
      </c>
      <c r="G222" s="6">
        <v>0.8081</v>
      </c>
      <c r="H222" s="6">
        <v>0.8097</v>
      </c>
      <c r="I222" s="6">
        <v>0.808</v>
      </c>
      <c r="J222" s="6">
        <v>0.8088</v>
      </c>
      <c r="K222" s="6">
        <v>0.8079</v>
      </c>
      <c r="L222" s="6">
        <v>0.8118</v>
      </c>
      <c r="M222" s="6">
        <f t="shared" si="6"/>
        <v>0.80871</v>
      </c>
      <c r="N222" s="6">
        <f t="shared" si="7"/>
        <v>0.00166829920045003</v>
      </c>
    </row>
    <row r="223" spans="1:14">
      <c r="A223" s="5" t="s">
        <v>216</v>
      </c>
      <c r="B223" s="5" t="s">
        <v>238</v>
      </c>
      <c r="C223" s="6">
        <v>0.6996</v>
      </c>
      <c r="D223" s="6">
        <v>0.7095</v>
      </c>
      <c r="E223" s="6">
        <v>0.6723</v>
      </c>
      <c r="F223" s="6">
        <v>0.6958</v>
      </c>
      <c r="G223" s="6">
        <v>0.7003</v>
      </c>
      <c r="H223" s="6">
        <v>0.7131</v>
      </c>
      <c r="I223" s="6">
        <v>0.7046</v>
      </c>
      <c r="J223" s="6">
        <v>0.6636</v>
      </c>
      <c r="K223" s="6">
        <v>0.6967</v>
      </c>
      <c r="L223" s="6">
        <v>0.685</v>
      </c>
      <c r="M223" s="6">
        <f t="shared" si="6"/>
        <v>0.69405</v>
      </c>
      <c r="N223" s="6">
        <f t="shared" si="7"/>
        <v>0.0158990740471122</v>
      </c>
    </row>
    <row r="224" spans="1:14">
      <c r="A224" s="5" t="s">
        <v>216</v>
      </c>
      <c r="B224" s="5" t="s">
        <v>239</v>
      </c>
      <c r="C224" s="6">
        <v>0.5284</v>
      </c>
      <c r="D224" s="6">
        <v>0.5153</v>
      </c>
      <c r="E224" s="6">
        <v>0.5345</v>
      </c>
      <c r="F224" s="6">
        <v>0.5186</v>
      </c>
      <c r="G224" s="6">
        <v>0.5812</v>
      </c>
      <c r="H224" s="6">
        <v>0.516</v>
      </c>
      <c r="I224" s="6">
        <v>0.5161</v>
      </c>
      <c r="J224" s="6">
        <v>0.523</v>
      </c>
      <c r="K224" s="6">
        <v>0.5691</v>
      </c>
      <c r="L224" s="6">
        <v>0.5268</v>
      </c>
      <c r="M224" s="6">
        <f t="shared" si="6"/>
        <v>0.5329</v>
      </c>
      <c r="N224" s="6">
        <f t="shared" si="7"/>
        <v>0.0232939190920435</v>
      </c>
    </row>
    <row r="225" spans="1:14">
      <c r="A225" s="5" t="s">
        <v>216</v>
      </c>
      <c r="B225" s="5" t="s">
        <v>240</v>
      </c>
      <c r="C225" s="6">
        <v>0.5537</v>
      </c>
      <c r="D225" s="6">
        <v>0.5299</v>
      </c>
      <c r="E225" s="6">
        <v>0.5322</v>
      </c>
      <c r="F225" s="6">
        <v>0.5067</v>
      </c>
      <c r="G225" s="6">
        <v>0.5106</v>
      </c>
      <c r="H225" s="6">
        <v>0.5324</v>
      </c>
      <c r="I225" s="6">
        <v>0.5315</v>
      </c>
      <c r="J225" s="6">
        <v>0.5134</v>
      </c>
      <c r="K225" s="6">
        <v>0.5249</v>
      </c>
      <c r="L225" s="6">
        <v>0.578</v>
      </c>
      <c r="M225" s="6">
        <f t="shared" si="6"/>
        <v>0.53133</v>
      </c>
      <c r="N225" s="6">
        <f t="shared" si="7"/>
        <v>0.0212960116245064</v>
      </c>
    </row>
    <row r="226" spans="1:14">
      <c r="A226" s="5" t="s">
        <v>216</v>
      </c>
      <c r="B226" s="5" t="s">
        <v>241</v>
      </c>
      <c r="C226" s="6">
        <v>0.5016</v>
      </c>
      <c r="D226" s="6">
        <v>0.5179</v>
      </c>
      <c r="E226" s="6">
        <v>0.5044</v>
      </c>
      <c r="F226" s="6">
        <v>0.6011</v>
      </c>
      <c r="G226" s="6">
        <v>0.5106</v>
      </c>
      <c r="H226" s="6">
        <v>0.5027</v>
      </c>
      <c r="I226" s="6">
        <v>0.5277</v>
      </c>
      <c r="J226" s="6">
        <v>0.5413</v>
      </c>
      <c r="K226" s="6">
        <v>0.5206</v>
      </c>
      <c r="L226" s="6">
        <v>0.529</v>
      </c>
      <c r="M226" s="6">
        <f t="shared" si="6"/>
        <v>0.52569</v>
      </c>
      <c r="N226" s="6">
        <f t="shared" si="7"/>
        <v>0.0294802551624718</v>
      </c>
    </row>
    <row r="227" spans="1:14">
      <c r="A227" s="5" t="s">
        <v>216</v>
      </c>
      <c r="B227" s="5" t="s">
        <v>242</v>
      </c>
      <c r="C227" s="6">
        <v>0.6265</v>
      </c>
      <c r="D227" s="6">
        <v>0.6368</v>
      </c>
      <c r="E227" s="6">
        <v>0.6475</v>
      </c>
      <c r="F227" s="6">
        <v>0.6236</v>
      </c>
      <c r="G227" s="6">
        <v>0.6764</v>
      </c>
      <c r="H227" s="6">
        <v>0.6449</v>
      </c>
      <c r="I227" s="6">
        <v>0.6312</v>
      </c>
      <c r="J227" s="6">
        <v>0.6333</v>
      </c>
      <c r="K227" s="6">
        <v>0.6224</v>
      </c>
      <c r="L227" s="6">
        <v>0.6203</v>
      </c>
      <c r="M227" s="6">
        <f t="shared" si="6"/>
        <v>0.63629</v>
      </c>
      <c r="N227" s="6">
        <f t="shared" si="7"/>
        <v>0.016829897339094</v>
      </c>
    </row>
    <row r="228" spans="1:14">
      <c r="A228" s="5" t="s">
        <v>216</v>
      </c>
      <c r="B228" s="5" t="s">
        <v>243</v>
      </c>
      <c r="C228" s="6">
        <v>0.7155</v>
      </c>
      <c r="D228" s="6">
        <v>0.7165</v>
      </c>
      <c r="E228" s="6">
        <v>0.715</v>
      </c>
      <c r="F228" s="6">
        <v>0.712</v>
      </c>
      <c r="G228" s="6">
        <v>0.7179</v>
      </c>
      <c r="H228" s="6">
        <v>0.7178</v>
      </c>
      <c r="I228" s="6">
        <v>0.7139</v>
      </c>
      <c r="J228" s="6">
        <v>0.7155</v>
      </c>
      <c r="K228" s="6">
        <v>0.7123</v>
      </c>
      <c r="L228" s="6">
        <v>0.7107</v>
      </c>
      <c r="M228" s="6">
        <f t="shared" si="6"/>
        <v>0.71471</v>
      </c>
      <c r="N228" s="6">
        <f t="shared" si="7"/>
        <v>0.00245286680346805</v>
      </c>
    </row>
    <row r="229" spans="1:14">
      <c r="A229" s="5" t="s">
        <v>216</v>
      </c>
      <c r="B229" s="5" t="s">
        <v>244</v>
      </c>
      <c r="C229" s="6">
        <v>0.6955</v>
      </c>
      <c r="D229" s="6">
        <v>0.6797</v>
      </c>
      <c r="E229" s="6">
        <v>0.6986</v>
      </c>
      <c r="F229" s="6">
        <v>0.6746</v>
      </c>
      <c r="G229" s="6">
        <v>0.6799</v>
      </c>
      <c r="H229" s="6">
        <v>0.6738</v>
      </c>
      <c r="I229" s="6">
        <v>0.6837</v>
      </c>
      <c r="J229" s="6">
        <v>0.6674</v>
      </c>
      <c r="K229" s="6">
        <v>0.7052</v>
      </c>
      <c r="L229" s="6">
        <v>0.6928</v>
      </c>
      <c r="M229" s="6">
        <f t="shared" si="6"/>
        <v>0.68512</v>
      </c>
      <c r="N229" s="6">
        <f t="shared" si="7"/>
        <v>0.0123067100035351</v>
      </c>
    </row>
    <row r="230" spans="1:14">
      <c r="A230" s="5" t="s">
        <v>216</v>
      </c>
      <c r="B230" s="5" t="s">
        <v>245</v>
      </c>
      <c r="C230" s="6">
        <v>0.645</v>
      </c>
      <c r="D230" s="6">
        <v>0.6533</v>
      </c>
      <c r="E230" s="6">
        <v>0.6464</v>
      </c>
      <c r="F230" s="6">
        <v>0.6484</v>
      </c>
      <c r="G230" s="6">
        <v>0.6571</v>
      </c>
      <c r="H230" s="6">
        <v>0.6493</v>
      </c>
      <c r="I230" s="6">
        <v>0.6467</v>
      </c>
      <c r="J230" s="6">
        <v>0.6504</v>
      </c>
      <c r="K230" s="6">
        <v>0.654</v>
      </c>
      <c r="L230" s="6">
        <v>0.6601</v>
      </c>
      <c r="M230" s="6">
        <f t="shared" si="6"/>
        <v>0.65107</v>
      </c>
      <c r="N230" s="6">
        <f t="shared" si="7"/>
        <v>0.00494324454853962</v>
      </c>
    </row>
    <row r="231" spans="1:14">
      <c r="A231" s="5" t="s">
        <v>216</v>
      </c>
      <c r="B231" s="5" t="s">
        <v>246</v>
      </c>
      <c r="C231" s="6">
        <v>0.7102</v>
      </c>
      <c r="D231" s="6">
        <v>0.7337</v>
      </c>
      <c r="E231" s="6">
        <v>0.7378</v>
      </c>
      <c r="F231" s="6">
        <v>0.6957</v>
      </c>
      <c r="G231" s="6">
        <v>0.7499</v>
      </c>
      <c r="H231" s="6">
        <v>0.7434</v>
      </c>
      <c r="I231" s="6">
        <v>0.686</v>
      </c>
      <c r="J231" s="6">
        <v>0.7597</v>
      </c>
      <c r="K231" s="6">
        <v>0.7226</v>
      </c>
      <c r="L231" s="6">
        <v>0.752</v>
      </c>
      <c r="M231" s="6">
        <f t="shared" si="6"/>
        <v>0.7291</v>
      </c>
      <c r="N231" s="6">
        <f t="shared" si="7"/>
        <v>0.0248716259576606</v>
      </c>
    </row>
    <row r="232" spans="1:14">
      <c r="A232" s="5" t="s">
        <v>216</v>
      </c>
      <c r="B232" s="5" t="s">
        <v>247</v>
      </c>
      <c r="C232" s="6">
        <v>0.6005</v>
      </c>
      <c r="D232" s="6">
        <v>0.5911</v>
      </c>
      <c r="E232" s="6">
        <v>0.5893</v>
      </c>
      <c r="F232" s="6">
        <v>0.5977</v>
      </c>
      <c r="G232" s="6">
        <v>0.605</v>
      </c>
      <c r="H232" s="6">
        <v>0.5972</v>
      </c>
      <c r="I232" s="6">
        <v>0.5974</v>
      </c>
      <c r="J232" s="6">
        <v>0.5948</v>
      </c>
      <c r="K232" s="6">
        <v>0.594</v>
      </c>
      <c r="L232" s="6">
        <v>0.5983</v>
      </c>
      <c r="M232" s="6">
        <f t="shared" si="6"/>
        <v>0.59653</v>
      </c>
      <c r="N232" s="6">
        <f t="shared" si="7"/>
        <v>0.00452598669414257</v>
      </c>
    </row>
    <row r="233" spans="1:14">
      <c r="A233" s="5" t="s">
        <v>216</v>
      </c>
      <c r="B233" s="5" t="s">
        <v>248</v>
      </c>
      <c r="C233" s="6">
        <v>0.5921</v>
      </c>
      <c r="D233" s="6">
        <v>0.5996</v>
      </c>
      <c r="E233" s="6">
        <v>0.5959</v>
      </c>
      <c r="F233" s="6">
        <v>0.5966</v>
      </c>
      <c r="G233" s="6">
        <v>0.5921</v>
      </c>
      <c r="H233" s="6">
        <v>0.5895</v>
      </c>
      <c r="I233" s="6">
        <v>0.5922</v>
      </c>
      <c r="J233" s="6">
        <v>0.5982</v>
      </c>
      <c r="K233" s="6">
        <v>0.5944</v>
      </c>
      <c r="L233" s="6">
        <v>0.5829</v>
      </c>
      <c r="M233" s="6">
        <f t="shared" si="6"/>
        <v>0.59335</v>
      </c>
      <c r="N233" s="6">
        <f t="shared" si="7"/>
        <v>0.00482153732975514</v>
      </c>
    </row>
    <row r="234" spans="1:14">
      <c r="A234" s="5" t="s">
        <v>216</v>
      </c>
      <c r="B234" s="5" t="s">
        <v>249</v>
      </c>
      <c r="C234" s="6">
        <v>0.5828</v>
      </c>
      <c r="D234" s="6">
        <v>0.5965</v>
      </c>
      <c r="E234" s="6">
        <v>0.5975</v>
      </c>
      <c r="F234" s="6">
        <v>0.5901</v>
      </c>
      <c r="G234" s="6">
        <v>0.6001</v>
      </c>
      <c r="H234" s="6">
        <v>0.5901</v>
      </c>
      <c r="I234" s="6">
        <v>0.5917</v>
      </c>
      <c r="J234" s="6">
        <v>0.5924</v>
      </c>
      <c r="K234" s="6">
        <v>0.6094</v>
      </c>
      <c r="L234" s="6">
        <v>0.5955</v>
      </c>
      <c r="M234" s="6">
        <f t="shared" si="6"/>
        <v>0.59461</v>
      </c>
      <c r="N234" s="6">
        <f t="shared" si="7"/>
        <v>0.00711109461803645</v>
      </c>
    </row>
    <row r="235" spans="1:14">
      <c r="A235" s="5" t="s">
        <v>216</v>
      </c>
      <c r="B235" s="5" t="s">
        <v>250</v>
      </c>
      <c r="C235" s="6">
        <v>0.5985</v>
      </c>
      <c r="D235" s="6">
        <v>0.5917</v>
      </c>
      <c r="E235" s="6">
        <v>0.5974</v>
      </c>
      <c r="F235" s="6">
        <v>0.5899</v>
      </c>
      <c r="G235" s="6">
        <v>0.5913</v>
      </c>
      <c r="H235" s="6">
        <v>0.5967</v>
      </c>
      <c r="I235" s="6">
        <v>0.5924</v>
      </c>
      <c r="J235" s="6">
        <v>0.5869</v>
      </c>
      <c r="K235" s="6">
        <v>0.593</v>
      </c>
      <c r="L235" s="6">
        <v>0.5949</v>
      </c>
      <c r="M235" s="6">
        <f t="shared" si="6"/>
        <v>0.59327</v>
      </c>
      <c r="N235" s="6">
        <f t="shared" si="7"/>
        <v>0.00362002148551022</v>
      </c>
    </row>
    <row r="236" spans="1:14">
      <c r="A236" s="5" t="s">
        <v>216</v>
      </c>
      <c r="B236" s="5" t="s">
        <v>251</v>
      </c>
      <c r="C236" s="6">
        <v>0.5126</v>
      </c>
      <c r="D236" s="6">
        <v>0.5302</v>
      </c>
      <c r="E236" s="6">
        <v>0.5336</v>
      </c>
      <c r="F236" s="6">
        <v>0.4898</v>
      </c>
      <c r="G236" s="6">
        <v>0.4838</v>
      </c>
      <c r="H236" s="6">
        <v>0.5297</v>
      </c>
      <c r="I236" s="6">
        <v>0.5194</v>
      </c>
      <c r="J236" s="6">
        <v>0.4798</v>
      </c>
      <c r="K236" s="6">
        <v>0.4771</v>
      </c>
      <c r="L236" s="6">
        <v>0.4783</v>
      </c>
      <c r="M236" s="6">
        <f t="shared" si="6"/>
        <v>0.50343</v>
      </c>
      <c r="N236" s="6">
        <f t="shared" si="7"/>
        <v>0.0238289762917149</v>
      </c>
    </row>
    <row r="237" spans="1:14">
      <c r="A237" s="5" t="s">
        <v>216</v>
      </c>
      <c r="B237" s="5" t="s">
        <v>252</v>
      </c>
      <c r="C237" s="6">
        <v>0.6564</v>
      </c>
      <c r="D237" s="6">
        <v>0.6411</v>
      </c>
      <c r="E237" s="6">
        <v>0.6539</v>
      </c>
      <c r="F237" s="6">
        <v>0.6717</v>
      </c>
      <c r="G237" s="6">
        <v>0.6483</v>
      </c>
      <c r="H237" s="6">
        <v>0.6452</v>
      </c>
      <c r="I237" s="6">
        <v>0.6827</v>
      </c>
      <c r="J237" s="6">
        <v>0.6323</v>
      </c>
      <c r="K237" s="6">
        <v>0.6581</v>
      </c>
      <c r="L237" s="6">
        <v>0.6601</v>
      </c>
      <c r="M237" s="6">
        <f t="shared" si="6"/>
        <v>0.65498</v>
      </c>
      <c r="N237" s="6">
        <f t="shared" si="7"/>
        <v>0.0146605896501092</v>
      </c>
    </row>
    <row r="238" spans="1:14">
      <c r="A238" s="5" t="s">
        <v>216</v>
      </c>
      <c r="B238" s="5" t="s">
        <v>253</v>
      </c>
      <c r="C238" s="6">
        <v>0.6486</v>
      </c>
      <c r="D238" s="6">
        <v>0.6423</v>
      </c>
      <c r="E238" s="6">
        <v>0.6423</v>
      </c>
      <c r="F238" s="6">
        <v>0.6438</v>
      </c>
      <c r="G238" s="6">
        <v>0.6512</v>
      </c>
      <c r="H238" s="6">
        <v>0.6668</v>
      </c>
      <c r="I238" s="6">
        <v>0.6487</v>
      </c>
      <c r="J238" s="6">
        <v>0.6675</v>
      </c>
      <c r="K238" s="6">
        <v>0.6481</v>
      </c>
      <c r="L238" s="6">
        <v>0.6558</v>
      </c>
      <c r="M238" s="6">
        <f t="shared" si="6"/>
        <v>0.65151</v>
      </c>
      <c r="N238" s="6">
        <f t="shared" si="7"/>
        <v>0.00921983971902138</v>
      </c>
    </row>
    <row r="239" spans="1:14">
      <c r="A239" s="5" t="s">
        <v>216</v>
      </c>
      <c r="B239" s="5" t="s">
        <v>254</v>
      </c>
      <c r="C239" s="6">
        <v>0.6371</v>
      </c>
      <c r="D239" s="6">
        <v>0.665</v>
      </c>
      <c r="E239" s="6">
        <v>0.6773</v>
      </c>
      <c r="F239" s="6">
        <v>0.6471</v>
      </c>
      <c r="G239" s="6">
        <v>0.7003</v>
      </c>
      <c r="H239" s="6">
        <v>0.6907</v>
      </c>
      <c r="I239" s="6">
        <v>0.6609</v>
      </c>
      <c r="J239" s="6">
        <v>0.6497</v>
      </c>
      <c r="K239" s="6">
        <v>0.6407</v>
      </c>
      <c r="L239" s="6">
        <v>0.6541</v>
      </c>
      <c r="M239" s="6">
        <f t="shared" si="6"/>
        <v>0.66229</v>
      </c>
      <c r="N239" s="6">
        <f t="shared" si="7"/>
        <v>0.0211960399865426</v>
      </c>
    </row>
    <row r="240" spans="1:14">
      <c r="A240" s="5" t="s">
        <v>216</v>
      </c>
      <c r="B240" s="5" t="s">
        <v>255</v>
      </c>
      <c r="C240" s="6">
        <v>0.5972</v>
      </c>
      <c r="D240" s="6">
        <v>0.5919</v>
      </c>
      <c r="E240" s="6">
        <v>0.5996</v>
      </c>
      <c r="F240" s="6">
        <v>0.5943</v>
      </c>
      <c r="G240" s="6">
        <v>0.6028</v>
      </c>
      <c r="H240" s="6">
        <v>0.5937</v>
      </c>
      <c r="I240" s="6">
        <v>0.5914</v>
      </c>
      <c r="J240" s="6">
        <v>0.5954</v>
      </c>
      <c r="K240" s="6">
        <v>0.5859</v>
      </c>
      <c r="L240" s="6">
        <v>0.5946</v>
      </c>
      <c r="M240" s="6">
        <f t="shared" si="6"/>
        <v>0.59468</v>
      </c>
      <c r="N240" s="6">
        <f t="shared" si="7"/>
        <v>0.00463915701154615</v>
      </c>
    </row>
    <row r="241" spans="1:14">
      <c r="A241" s="5" t="s">
        <v>216</v>
      </c>
      <c r="B241" s="5" t="s">
        <v>256</v>
      </c>
      <c r="C241" s="6">
        <v>0.6036</v>
      </c>
      <c r="D241" s="6">
        <v>0.6119</v>
      </c>
      <c r="E241" s="6">
        <v>0.6073</v>
      </c>
      <c r="F241" s="6">
        <v>0.6069</v>
      </c>
      <c r="G241" s="6">
        <v>0.6088</v>
      </c>
      <c r="H241" s="6">
        <v>0.6021</v>
      </c>
      <c r="I241" s="6">
        <v>0.6067</v>
      </c>
      <c r="J241" s="6">
        <v>0.6105</v>
      </c>
      <c r="K241" s="6">
        <v>0.6089</v>
      </c>
      <c r="L241" s="6">
        <v>0.622</v>
      </c>
      <c r="M241" s="6">
        <f t="shared" si="6"/>
        <v>0.60887</v>
      </c>
      <c r="N241" s="6">
        <f t="shared" si="7"/>
        <v>0.0054660670402849</v>
      </c>
    </row>
    <row r="242" spans="1:14">
      <c r="A242" s="5" t="s">
        <v>216</v>
      </c>
      <c r="B242" s="5" t="s">
        <v>257</v>
      </c>
      <c r="C242" s="6">
        <v>0.5956</v>
      </c>
      <c r="D242" s="6">
        <v>0.5979</v>
      </c>
      <c r="E242" s="6">
        <v>0.5991</v>
      </c>
      <c r="F242" s="6">
        <v>0.5948</v>
      </c>
      <c r="G242" s="6">
        <v>0.6006</v>
      </c>
      <c r="H242" s="6">
        <v>0.5952</v>
      </c>
      <c r="I242" s="6">
        <v>0.5944</v>
      </c>
      <c r="J242" s="6">
        <v>0.5968</v>
      </c>
      <c r="K242" s="6">
        <v>0.5952</v>
      </c>
      <c r="L242" s="6">
        <v>0.5987</v>
      </c>
      <c r="M242" s="6">
        <f t="shared" si="6"/>
        <v>0.59683</v>
      </c>
      <c r="N242" s="6">
        <f t="shared" si="7"/>
        <v>0.00213075364862086</v>
      </c>
    </row>
    <row r="243" spans="1:14">
      <c r="A243" s="5" t="s">
        <v>216</v>
      </c>
      <c r="B243" s="5" t="s">
        <v>258</v>
      </c>
      <c r="C243" s="6">
        <v>0.596</v>
      </c>
      <c r="D243" s="6">
        <v>0.591</v>
      </c>
      <c r="E243" s="6">
        <v>0.5939</v>
      </c>
      <c r="F243" s="6">
        <v>0.6045</v>
      </c>
      <c r="G243" s="6">
        <v>0.599</v>
      </c>
      <c r="H243" s="6">
        <v>0.5918</v>
      </c>
      <c r="I243" s="6">
        <v>0.6041</v>
      </c>
      <c r="J243" s="6">
        <v>0.5921</v>
      </c>
      <c r="K243" s="6">
        <v>0.6101</v>
      </c>
      <c r="L243" s="6">
        <v>0.5886</v>
      </c>
      <c r="M243" s="6">
        <f t="shared" si="6"/>
        <v>0.59711</v>
      </c>
      <c r="N243" s="6">
        <f t="shared" si="7"/>
        <v>0.00707396635558864</v>
      </c>
    </row>
    <row r="244" spans="1:14">
      <c r="A244" s="5" t="s">
        <v>216</v>
      </c>
      <c r="B244" s="5" t="s">
        <v>259</v>
      </c>
      <c r="C244" s="6">
        <v>0.6629</v>
      </c>
      <c r="D244" s="6">
        <v>0.6522</v>
      </c>
      <c r="E244" s="6">
        <v>0.5969</v>
      </c>
      <c r="F244" s="6">
        <v>0.6626</v>
      </c>
      <c r="G244" s="6">
        <v>0.5868</v>
      </c>
      <c r="H244" s="6">
        <v>0.6572</v>
      </c>
      <c r="I244" s="6">
        <v>0.6627</v>
      </c>
      <c r="J244" s="6">
        <v>0.664</v>
      </c>
      <c r="K244" s="6">
        <v>0.6627</v>
      </c>
      <c r="L244" s="6">
        <v>0.65</v>
      </c>
      <c r="M244" s="6">
        <f t="shared" si="6"/>
        <v>0.6458</v>
      </c>
      <c r="N244" s="6">
        <f t="shared" si="7"/>
        <v>0.0289403217366743</v>
      </c>
    </row>
    <row r="245" spans="1:14">
      <c r="A245" s="5" t="s">
        <v>216</v>
      </c>
      <c r="B245" s="5" t="s">
        <v>260</v>
      </c>
      <c r="C245" s="6">
        <v>0.7236</v>
      </c>
      <c r="D245" s="6">
        <v>0.7566</v>
      </c>
      <c r="E245" s="6">
        <v>0.7073</v>
      </c>
      <c r="F245" s="6">
        <v>0.7278</v>
      </c>
      <c r="G245" s="6">
        <v>0.7186</v>
      </c>
      <c r="H245" s="6">
        <v>0.749</v>
      </c>
      <c r="I245" s="6">
        <v>0.7481</v>
      </c>
      <c r="J245" s="6">
        <v>0.7489</v>
      </c>
      <c r="K245" s="6">
        <v>0.7374</v>
      </c>
      <c r="L245" s="6">
        <v>0.7209</v>
      </c>
      <c r="M245" s="6">
        <f t="shared" si="6"/>
        <v>0.73382</v>
      </c>
      <c r="N245" s="6">
        <f t="shared" si="7"/>
        <v>0.0164522068766203</v>
      </c>
    </row>
    <row r="246" spans="1:14">
      <c r="A246" s="5" t="s">
        <v>216</v>
      </c>
      <c r="B246" s="5" t="s">
        <v>261</v>
      </c>
      <c r="C246" s="6">
        <v>0.784</v>
      </c>
      <c r="D246" s="6">
        <v>0.7834</v>
      </c>
      <c r="E246" s="6">
        <v>0.7834</v>
      </c>
      <c r="F246" s="6">
        <v>0.757</v>
      </c>
      <c r="G246" s="6">
        <v>0.7943</v>
      </c>
      <c r="H246" s="6">
        <v>0.7939</v>
      </c>
      <c r="I246" s="6">
        <v>0.7511</v>
      </c>
      <c r="J246" s="6">
        <v>0.7905</v>
      </c>
      <c r="K246" s="6">
        <v>0.7869</v>
      </c>
      <c r="L246" s="6">
        <v>0.7889</v>
      </c>
      <c r="M246" s="6">
        <f t="shared" si="6"/>
        <v>0.78134</v>
      </c>
      <c r="N246" s="6">
        <f t="shared" si="7"/>
        <v>0.0149820040196379</v>
      </c>
    </row>
    <row r="247" spans="1:14">
      <c r="A247" s="5" t="s">
        <v>216</v>
      </c>
      <c r="B247" s="5" t="s">
        <v>262</v>
      </c>
      <c r="C247" s="6">
        <v>0.7595</v>
      </c>
      <c r="D247" s="6">
        <v>0.7551</v>
      </c>
      <c r="E247" s="6">
        <v>0.7811</v>
      </c>
      <c r="F247" s="6">
        <v>0.7863</v>
      </c>
      <c r="G247" s="6">
        <v>0.7891</v>
      </c>
      <c r="H247" s="6">
        <v>0.783</v>
      </c>
      <c r="I247" s="6">
        <v>0.7878</v>
      </c>
      <c r="J247" s="6">
        <v>0.7872</v>
      </c>
      <c r="K247" s="6">
        <v>0.7885</v>
      </c>
      <c r="L247" s="6">
        <v>0.7904</v>
      </c>
      <c r="M247" s="6">
        <f t="shared" si="6"/>
        <v>0.7808</v>
      </c>
      <c r="N247" s="6">
        <f t="shared" si="7"/>
        <v>0.0127351656622301</v>
      </c>
    </row>
    <row r="248" spans="1:14">
      <c r="A248" s="5" t="s">
        <v>216</v>
      </c>
      <c r="B248" s="5" t="s">
        <v>263</v>
      </c>
      <c r="C248" s="6">
        <v>0.5234</v>
      </c>
      <c r="D248" s="6">
        <v>0.5291</v>
      </c>
      <c r="E248" s="6">
        <v>0.5309</v>
      </c>
      <c r="F248" s="6">
        <v>0.5495</v>
      </c>
      <c r="G248" s="6">
        <v>0.5358</v>
      </c>
      <c r="H248" s="6">
        <v>0.5592</v>
      </c>
      <c r="I248" s="6">
        <v>0.5359</v>
      </c>
      <c r="J248" s="6">
        <v>0.5432</v>
      </c>
      <c r="K248" s="6">
        <v>0.5346</v>
      </c>
      <c r="L248" s="6">
        <v>0.5326</v>
      </c>
      <c r="M248" s="6">
        <f t="shared" si="6"/>
        <v>0.53742</v>
      </c>
      <c r="N248" s="6">
        <f t="shared" si="7"/>
        <v>0.010530991300812</v>
      </c>
    </row>
    <row r="249" spans="1:14">
      <c r="A249" s="5" t="s">
        <v>216</v>
      </c>
      <c r="B249" s="5" t="s">
        <v>264</v>
      </c>
      <c r="C249" s="6">
        <v>0.5393</v>
      </c>
      <c r="D249" s="6">
        <v>0.5333</v>
      </c>
      <c r="E249" s="6">
        <v>0.5464</v>
      </c>
      <c r="F249" s="6">
        <v>0.5446</v>
      </c>
      <c r="G249" s="6">
        <v>0.5295</v>
      </c>
      <c r="H249" s="6">
        <v>0.5623</v>
      </c>
      <c r="I249" s="6">
        <v>0.5226</v>
      </c>
      <c r="J249" s="6">
        <v>0.5265</v>
      </c>
      <c r="K249" s="6">
        <v>0.522</v>
      </c>
      <c r="L249" s="6">
        <v>0.5226</v>
      </c>
      <c r="M249" s="6">
        <f t="shared" si="6"/>
        <v>0.53491</v>
      </c>
      <c r="N249" s="6">
        <f t="shared" si="7"/>
        <v>0.0131981859022788</v>
      </c>
    </row>
    <row r="250" spans="1:14">
      <c r="A250" s="5" t="s">
        <v>216</v>
      </c>
      <c r="B250" s="5" t="s">
        <v>265</v>
      </c>
      <c r="C250" s="6">
        <v>0.5461</v>
      </c>
      <c r="D250" s="6">
        <v>0.5456</v>
      </c>
      <c r="E250" s="6">
        <v>0.5295</v>
      </c>
      <c r="F250" s="6">
        <v>0.511</v>
      </c>
      <c r="G250" s="6">
        <v>0.5368</v>
      </c>
      <c r="H250" s="6">
        <v>0.5398</v>
      </c>
      <c r="I250" s="6">
        <v>0.5226</v>
      </c>
      <c r="J250" s="6">
        <v>0.5507</v>
      </c>
      <c r="K250" s="6">
        <v>0.519</v>
      </c>
      <c r="L250" s="6">
        <v>0.5262</v>
      </c>
      <c r="M250" s="6">
        <f t="shared" si="6"/>
        <v>0.53273</v>
      </c>
      <c r="N250" s="6">
        <f t="shared" si="7"/>
        <v>0.0131244513112824</v>
      </c>
    </row>
    <row r="251" spans="1:14">
      <c r="A251" s="5" t="s">
        <v>216</v>
      </c>
      <c r="B251" s="5" t="s">
        <v>266</v>
      </c>
      <c r="C251" s="6">
        <v>0.5433</v>
      </c>
      <c r="D251" s="6">
        <v>0.5392</v>
      </c>
      <c r="E251" s="6">
        <v>0.5612</v>
      </c>
      <c r="F251" s="6">
        <v>0.5382</v>
      </c>
      <c r="G251" s="6">
        <v>0.5217</v>
      </c>
      <c r="H251" s="6">
        <v>0.5436</v>
      </c>
      <c r="I251" s="6">
        <v>0.5348</v>
      </c>
      <c r="J251" s="6">
        <v>0.5683</v>
      </c>
      <c r="K251" s="6">
        <v>0.557</v>
      </c>
      <c r="L251" s="6">
        <v>0.5495</v>
      </c>
      <c r="M251" s="6">
        <f t="shared" si="6"/>
        <v>0.54568</v>
      </c>
      <c r="N251" s="6">
        <f t="shared" si="7"/>
        <v>0.013729999595371</v>
      </c>
    </row>
    <row r="252" spans="1:14">
      <c r="A252" s="5" t="s">
        <v>216</v>
      </c>
      <c r="B252" s="5" t="s">
        <v>267</v>
      </c>
      <c r="C252" s="6">
        <v>0.5937</v>
      </c>
      <c r="D252" s="6">
        <v>0.5904</v>
      </c>
      <c r="E252" s="6">
        <v>0.5741</v>
      </c>
      <c r="F252" s="6">
        <v>0.6159</v>
      </c>
      <c r="G252" s="6">
        <v>0.5985</v>
      </c>
      <c r="H252" s="6">
        <v>0.621</v>
      </c>
      <c r="I252" s="6">
        <v>0.5775</v>
      </c>
      <c r="J252" s="6">
        <v>0.5969</v>
      </c>
      <c r="K252" s="6">
        <v>0.5929</v>
      </c>
      <c r="L252" s="6">
        <v>0.6225</v>
      </c>
      <c r="M252" s="6">
        <f t="shared" si="6"/>
        <v>0.59834</v>
      </c>
      <c r="N252" s="6">
        <f t="shared" si="7"/>
        <v>0.0168116494002092</v>
      </c>
    </row>
    <row r="253" spans="1:14">
      <c r="A253" s="5" t="s">
        <v>216</v>
      </c>
      <c r="B253" s="5" t="s">
        <v>268</v>
      </c>
      <c r="C253" s="6">
        <v>0.5174</v>
      </c>
      <c r="D253" s="6">
        <v>0.5111</v>
      </c>
      <c r="E253" s="6">
        <v>0.5349</v>
      </c>
      <c r="F253" s="6">
        <v>0.5126</v>
      </c>
      <c r="G253" s="6">
        <v>0.5261</v>
      </c>
      <c r="H253" s="6">
        <v>0.5179</v>
      </c>
      <c r="I253" s="6">
        <v>0.5161</v>
      </c>
      <c r="J253" s="6">
        <v>0.5232</v>
      </c>
      <c r="K253" s="6">
        <v>0.5052</v>
      </c>
      <c r="L253" s="6">
        <v>0.5231</v>
      </c>
      <c r="M253" s="6">
        <f t="shared" si="6"/>
        <v>0.51876</v>
      </c>
      <c r="N253" s="6">
        <f t="shared" si="7"/>
        <v>0.00845303364347842</v>
      </c>
    </row>
    <row r="254" spans="1:14">
      <c r="A254" s="5" t="s">
        <v>216</v>
      </c>
      <c r="B254" s="5" t="s">
        <v>269</v>
      </c>
      <c r="C254" s="6">
        <v>0.7785</v>
      </c>
      <c r="D254" s="6">
        <v>0.7532</v>
      </c>
      <c r="E254" s="6">
        <v>0.7505</v>
      </c>
      <c r="F254" s="6">
        <v>0.7946</v>
      </c>
      <c r="G254" s="6">
        <v>0.7848</v>
      </c>
      <c r="H254" s="6">
        <v>0.7927</v>
      </c>
      <c r="I254" s="6">
        <v>0.7841</v>
      </c>
      <c r="J254" s="6">
        <v>0.7929</v>
      </c>
      <c r="K254" s="6">
        <v>0.7866</v>
      </c>
      <c r="L254" s="6">
        <v>0.7891</v>
      </c>
      <c r="M254" s="6">
        <f t="shared" si="6"/>
        <v>0.7807</v>
      </c>
      <c r="N254" s="6">
        <f t="shared" si="7"/>
        <v>0.0159614814127289</v>
      </c>
    </row>
    <row r="255" spans="1:14">
      <c r="A255" s="5" t="s">
        <v>216</v>
      </c>
      <c r="B255" s="5" t="s">
        <v>270</v>
      </c>
      <c r="C255" s="6">
        <v>0.7582</v>
      </c>
      <c r="D255" s="6">
        <v>0.7899</v>
      </c>
      <c r="E255" s="6">
        <v>0.7921</v>
      </c>
      <c r="F255" s="6">
        <v>0.7924</v>
      </c>
      <c r="G255" s="6">
        <v>0.7903</v>
      </c>
      <c r="H255" s="6">
        <v>0.772</v>
      </c>
      <c r="I255" s="6">
        <v>0.7871</v>
      </c>
      <c r="J255" s="6">
        <v>0.7899</v>
      </c>
      <c r="K255" s="6">
        <v>0.7614</v>
      </c>
      <c r="L255" s="6">
        <v>0.793</v>
      </c>
      <c r="M255" s="6">
        <f t="shared" si="6"/>
        <v>0.78263</v>
      </c>
      <c r="N255" s="6">
        <f t="shared" si="7"/>
        <v>0.0134895885778626</v>
      </c>
    </row>
    <row r="256" spans="1:14">
      <c r="A256" s="5" t="s">
        <v>216</v>
      </c>
      <c r="B256" s="5" t="s">
        <v>271</v>
      </c>
      <c r="C256" s="6">
        <v>0.7917</v>
      </c>
      <c r="D256" s="6">
        <v>0.7883</v>
      </c>
      <c r="E256" s="6">
        <v>0.7897</v>
      </c>
      <c r="F256" s="6">
        <v>0.7842</v>
      </c>
      <c r="G256" s="6">
        <v>0.7944</v>
      </c>
      <c r="H256" s="6">
        <v>0.7913</v>
      </c>
      <c r="I256" s="6">
        <v>0.7927</v>
      </c>
      <c r="J256" s="6">
        <v>0.7891</v>
      </c>
      <c r="K256" s="6">
        <v>0.7873</v>
      </c>
      <c r="L256" s="6">
        <v>0.7794</v>
      </c>
      <c r="M256" s="6">
        <f t="shared" si="6"/>
        <v>0.78881</v>
      </c>
      <c r="N256" s="6">
        <f t="shared" si="7"/>
        <v>0.00439885086004161</v>
      </c>
    </row>
    <row r="257" spans="1:14">
      <c r="A257" s="5" t="s">
        <v>216</v>
      </c>
      <c r="B257" s="5" t="s">
        <v>272</v>
      </c>
      <c r="C257" s="6">
        <v>0.8015</v>
      </c>
      <c r="D257" s="6">
        <v>0.8064</v>
      </c>
      <c r="E257" s="6">
        <v>0.8036</v>
      </c>
      <c r="F257" s="6">
        <v>0.8002</v>
      </c>
      <c r="G257" s="6">
        <v>0.8042</v>
      </c>
      <c r="H257" s="6">
        <v>0.808</v>
      </c>
      <c r="I257" s="6">
        <v>0.8033</v>
      </c>
      <c r="J257" s="6">
        <v>0.8026</v>
      </c>
      <c r="K257" s="6">
        <v>0.7968</v>
      </c>
      <c r="L257" s="6">
        <v>0.7992</v>
      </c>
      <c r="M257" s="6">
        <f t="shared" si="6"/>
        <v>0.80258</v>
      </c>
      <c r="N257" s="6">
        <f t="shared" si="7"/>
        <v>0.00333026525470071</v>
      </c>
    </row>
    <row r="258" spans="1:14">
      <c r="A258" s="5" t="s">
        <v>216</v>
      </c>
      <c r="B258" s="5" t="s">
        <v>273</v>
      </c>
      <c r="C258" s="6">
        <v>0.6055</v>
      </c>
      <c r="D258" s="6">
        <v>0.5946</v>
      </c>
      <c r="E258" s="6">
        <v>0.6058</v>
      </c>
      <c r="F258" s="6">
        <v>0.6059</v>
      </c>
      <c r="G258" s="6">
        <v>0.6114</v>
      </c>
      <c r="H258" s="6">
        <v>0.6055</v>
      </c>
      <c r="I258" s="6">
        <v>0.5855</v>
      </c>
      <c r="J258" s="6">
        <v>0.6219</v>
      </c>
      <c r="K258" s="6">
        <v>0.6239</v>
      </c>
      <c r="L258" s="6">
        <v>0.609</v>
      </c>
      <c r="M258" s="6">
        <f t="shared" ref="M258:M301" si="8">AVERAGE(C258:L258)</f>
        <v>0.6069</v>
      </c>
      <c r="N258" s="6">
        <f t="shared" ref="N258:N301" si="9">_xlfn.STDEV.S(C258:L258)</f>
        <v>0.0113237214142113</v>
      </c>
    </row>
    <row r="259" spans="1:14">
      <c r="A259" s="5" t="s">
        <v>216</v>
      </c>
      <c r="B259" s="5" t="s">
        <v>274</v>
      </c>
      <c r="C259" s="6">
        <v>0.7933</v>
      </c>
      <c r="D259" s="6">
        <v>0.7838</v>
      </c>
      <c r="E259" s="6">
        <v>0.7864</v>
      </c>
      <c r="F259" s="6">
        <v>0.7813</v>
      </c>
      <c r="G259" s="6">
        <v>0.7935</v>
      </c>
      <c r="H259" s="6">
        <v>0.7606</v>
      </c>
      <c r="I259" s="6">
        <v>0.7849</v>
      </c>
      <c r="J259" s="6">
        <v>0.7875</v>
      </c>
      <c r="K259" s="6">
        <v>0.7767</v>
      </c>
      <c r="L259" s="6">
        <v>0.7861</v>
      </c>
      <c r="M259" s="6">
        <f t="shared" si="8"/>
        <v>0.78341</v>
      </c>
      <c r="N259" s="6">
        <f t="shared" si="9"/>
        <v>0.00945556273664696</v>
      </c>
    </row>
    <row r="260" spans="1:14">
      <c r="A260" s="5" t="s">
        <v>216</v>
      </c>
      <c r="B260" s="5" t="s">
        <v>275</v>
      </c>
      <c r="C260" s="6">
        <v>0.5602</v>
      </c>
      <c r="D260" s="6">
        <v>0.57</v>
      </c>
      <c r="E260" s="6">
        <v>0.5966</v>
      </c>
      <c r="F260" s="6">
        <v>0.588</v>
      </c>
      <c r="G260" s="6">
        <v>0.5856</v>
      </c>
      <c r="H260" s="6">
        <v>0.5995</v>
      </c>
      <c r="I260" s="6">
        <v>0.5677</v>
      </c>
      <c r="J260" s="6">
        <v>0.6127</v>
      </c>
      <c r="K260" s="6">
        <v>0.5668</v>
      </c>
      <c r="L260" s="6">
        <v>0.5595</v>
      </c>
      <c r="M260" s="6">
        <f t="shared" si="8"/>
        <v>0.58066</v>
      </c>
      <c r="N260" s="6">
        <f t="shared" si="9"/>
        <v>0.0184207732977986</v>
      </c>
    </row>
    <row r="261" spans="1:14">
      <c r="A261" s="5" t="s">
        <v>216</v>
      </c>
      <c r="B261" s="5" t="s">
        <v>276</v>
      </c>
      <c r="C261" s="6">
        <v>0.6698</v>
      </c>
      <c r="D261" s="6">
        <v>0.6602</v>
      </c>
      <c r="E261" s="6">
        <v>0.6619</v>
      </c>
      <c r="F261" s="6">
        <v>0.6637</v>
      </c>
      <c r="G261" s="6">
        <v>0.6549</v>
      </c>
      <c r="H261" s="6">
        <v>0.661</v>
      </c>
      <c r="I261" s="6">
        <v>0.6558</v>
      </c>
      <c r="J261" s="6">
        <v>0.6624</v>
      </c>
      <c r="K261" s="6">
        <v>0.652</v>
      </c>
      <c r="L261" s="6">
        <v>0.6374</v>
      </c>
      <c r="M261" s="6">
        <f t="shared" si="8"/>
        <v>0.65791</v>
      </c>
      <c r="N261" s="6">
        <f t="shared" si="9"/>
        <v>0.00878678932640738</v>
      </c>
    </row>
    <row r="262" spans="1:14">
      <c r="A262" s="5" t="s">
        <v>216</v>
      </c>
      <c r="B262" s="5" t="s">
        <v>277</v>
      </c>
      <c r="C262" s="6">
        <v>0.5624</v>
      </c>
      <c r="D262" s="6">
        <v>0.5637</v>
      </c>
      <c r="E262" s="6">
        <v>0.5964</v>
      </c>
      <c r="F262" s="6">
        <v>0.578</v>
      </c>
      <c r="G262" s="6">
        <v>0.5952</v>
      </c>
      <c r="H262" s="6">
        <v>0.5515</v>
      </c>
      <c r="I262" s="6">
        <v>0.5877</v>
      </c>
      <c r="J262" s="6">
        <v>0.551</v>
      </c>
      <c r="K262" s="6">
        <v>0.5545</v>
      </c>
      <c r="L262" s="6">
        <v>0.5665</v>
      </c>
      <c r="M262" s="6">
        <f t="shared" si="8"/>
        <v>0.57069</v>
      </c>
      <c r="N262" s="6">
        <f t="shared" si="9"/>
        <v>0.0175046946083996</v>
      </c>
    </row>
    <row r="263" spans="1:14">
      <c r="A263" s="5" t="s">
        <v>216</v>
      </c>
      <c r="B263" s="5" t="s">
        <v>278</v>
      </c>
      <c r="C263" s="6">
        <v>0.6671</v>
      </c>
      <c r="D263" s="6">
        <v>0.639</v>
      </c>
      <c r="E263" s="6">
        <v>0.6239</v>
      </c>
      <c r="F263" s="6">
        <v>0.7023</v>
      </c>
      <c r="G263" s="6">
        <v>0.6647</v>
      </c>
      <c r="H263" s="6">
        <v>0.6667</v>
      </c>
      <c r="I263" s="6">
        <v>0.6661</v>
      </c>
      <c r="J263" s="6">
        <v>0.6505</v>
      </c>
      <c r="K263" s="6">
        <v>0.6523</v>
      </c>
      <c r="L263" s="6">
        <v>0.6611</v>
      </c>
      <c r="M263" s="6">
        <f t="shared" si="8"/>
        <v>0.65937</v>
      </c>
      <c r="N263" s="6">
        <f t="shared" si="9"/>
        <v>0.020642138670421</v>
      </c>
    </row>
    <row r="264" spans="1:14">
      <c r="A264" s="5" t="s">
        <v>216</v>
      </c>
      <c r="B264" s="5" t="s">
        <v>279</v>
      </c>
      <c r="C264" s="6">
        <v>0.8086</v>
      </c>
      <c r="D264" s="6">
        <v>0.8091</v>
      </c>
      <c r="E264" s="6">
        <v>0.8097</v>
      </c>
      <c r="F264" s="6">
        <v>0.8087</v>
      </c>
      <c r="G264" s="6">
        <v>0.8088</v>
      </c>
      <c r="H264" s="6">
        <v>0.8128</v>
      </c>
      <c r="I264" s="6">
        <v>0.8085</v>
      </c>
      <c r="J264" s="6">
        <v>0.8084</v>
      </c>
      <c r="K264" s="6">
        <v>0.8113</v>
      </c>
      <c r="L264" s="6">
        <v>0.8095</v>
      </c>
      <c r="M264" s="6">
        <f t="shared" si="8"/>
        <v>0.80954</v>
      </c>
      <c r="N264" s="6">
        <f t="shared" si="9"/>
        <v>0.00143232522687955</v>
      </c>
    </row>
    <row r="265" spans="1:14">
      <c r="A265" s="5" t="s">
        <v>216</v>
      </c>
      <c r="B265" s="5" t="s">
        <v>280</v>
      </c>
      <c r="C265" s="6">
        <v>0.589</v>
      </c>
      <c r="D265" s="6">
        <v>0.5636</v>
      </c>
      <c r="E265" s="6">
        <v>0.6026</v>
      </c>
      <c r="F265" s="6">
        <v>0.5808</v>
      </c>
      <c r="G265" s="6">
        <v>0.5555</v>
      </c>
      <c r="H265" s="6">
        <v>0.6271</v>
      </c>
      <c r="I265" s="6">
        <v>0.5808</v>
      </c>
      <c r="J265" s="6">
        <v>0.5683</v>
      </c>
      <c r="K265" s="6">
        <v>0.5806</v>
      </c>
      <c r="L265" s="6">
        <v>0.5964</v>
      </c>
      <c r="M265" s="6">
        <f t="shared" si="8"/>
        <v>0.58447</v>
      </c>
      <c r="N265" s="6">
        <f t="shared" si="9"/>
        <v>0.0207820996693469</v>
      </c>
    </row>
    <row r="266" spans="1:14">
      <c r="A266" s="5" t="s">
        <v>216</v>
      </c>
      <c r="B266" s="5" t="s">
        <v>281</v>
      </c>
      <c r="C266" s="6">
        <v>0.6561</v>
      </c>
      <c r="D266" s="6">
        <v>0.6534</v>
      </c>
      <c r="E266" s="6">
        <v>0.6559</v>
      </c>
      <c r="F266" s="6">
        <v>0.6437</v>
      </c>
      <c r="G266" s="6">
        <v>0.6206</v>
      </c>
      <c r="H266" s="6">
        <v>0.6564</v>
      </c>
      <c r="I266" s="6">
        <v>0.6563</v>
      </c>
      <c r="J266" s="6">
        <v>0.6565</v>
      </c>
      <c r="K266" s="6">
        <v>0.6512</v>
      </c>
      <c r="L266" s="6">
        <v>0.6541</v>
      </c>
      <c r="M266" s="6">
        <f t="shared" si="8"/>
        <v>0.65042</v>
      </c>
      <c r="N266" s="6">
        <f t="shared" si="9"/>
        <v>0.0111903529881769</v>
      </c>
    </row>
    <row r="267" spans="1:14">
      <c r="A267" s="5" t="s">
        <v>216</v>
      </c>
      <c r="B267" s="5" t="s">
        <v>282</v>
      </c>
      <c r="C267" s="6">
        <v>0.5626</v>
      </c>
      <c r="D267" s="6">
        <v>0.5198</v>
      </c>
      <c r="E267" s="6">
        <v>0.5751</v>
      </c>
      <c r="F267" s="6">
        <v>0.5802</v>
      </c>
      <c r="G267" s="6">
        <v>0.5494</v>
      </c>
      <c r="H267" s="6">
        <v>0.5735</v>
      </c>
      <c r="I267" s="6">
        <v>0.5355</v>
      </c>
      <c r="J267" s="6">
        <v>0.5716</v>
      </c>
      <c r="K267" s="6">
        <v>0.5826</v>
      </c>
      <c r="L267" s="6">
        <v>0.5801</v>
      </c>
      <c r="M267" s="6">
        <f t="shared" si="8"/>
        <v>0.56304</v>
      </c>
      <c r="N267" s="6">
        <f t="shared" si="9"/>
        <v>0.021371382734863</v>
      </c>
    </row>
    <row r="268" spans="1:14">
      <c r="A268" s="5" t="s">
        <v>216</v>
      </c>
      <c r="B268" s="5" t="s">
        <v>283</v>
      </c>
      <c r="C268" s="6">
        <v>0.632</v>
      </c>
      <c r="D268" s="6">
        <v>0.6587</v>
      </c>
      <c r="E268" s="6">
        <v>0.6534</v>
      </c>
      <c r="F268" s="6">
        <v>0.6454</v>
      </c>
      <c r="G268" s="6">
        <v>0.6573</v>
      </c>
      <c r="H268" s="6">
        <v>0.6584</v>
      </c>
      <c r="I268" s="6">
        <v>0.6416</v>
      </c>
      <c r="J268" s="6">
        <v>0.618</v>
      </c>
      <c r="K268" s="6">
        <v>0.6478</v>
      </c>
      <c r="L268" s="6">
        <v>0.6657</v>
      </c>
      <c r="M268" s="6">
        <f t="shared" si="8"/>
        <v>0.64783</v>
      </c>
      <c r="N268" s="6">
        <f t="shared" si="9"/>
        <v>0.0143568063610571</v>
      </c>
    </row>
    <row r="269" spans="1:14">
      <c r="A269" s="5" t="s">
        <v>216</v>
      </c>
      <c r="B269" s="5" t="s">
        <v>284</v>
      </c>
      <c r="C269" s="6">
        <v>0.5745</v>
      </c>
      <c r="D269" s="6">
        <v>0.6189</v>
      </c>
      <c r="E269" s="6">
        <v>0.5565</v>
      </c>
      <c r="F269" s="6">
        <v>0.6062</v>
      </c>
      <c r="G269" s="6">
        <v>0.5413</v>
      </c>
      <c r="H269" s="6">
        <v>0.582</v>
      </c>
      <c r="I269" s="6">
        <v>0.5331</v>
      </c>
      <c r="J269" s="6">
        <v>0.5968</v>
      </c>
      <c r="K269" s="6">
        <v>0.5953</v>
      </c>
      <c r="L269" s="6">
        <v>0.5965</v>
      </c>
      <c r="M269" s="6">
        <f t="shared" si="8"/>
        <v>0.58011</v>
      </c>
      <c r="N269" s="6">
        <f t="shared" si="9"/>
        <v>0.0284251629527236</v>
      </c>
    </row>
    <row r="270" spans="1:14">
      <c r="A270" s="5" t="s">
        <v>216</v>
      </c>
      <c r="B270" s="5" t="s">
        <v>285</v>
      </c>
      <c r="C270" s="6">
        <v>0.6385</v>
      </c>
      <c r="D270" s="6">
        <v>0.6598</v>
      </c>
      <c r="E270" s="6">
        <v>0.6833</v>
      </c>
      <c r="F270" s="6">
        <v>0.6562</v>
      </c>
      <c r="G270" s="6">
        <v>0.6745</v>
      </c>
      <c r="H270" s="6">
        <v>0.6534</v>
      </c>
      <c r="I270" s="6">
        <v>0.6426</v>
      </c>
      <c r="J270" s="6">
        <v>0.6446</v>
      </c>
      <c r="K270" s="6">
        <v>0.6405</v>
      </c>
      <c r="L270" s="6">
        <v>0.64</v>
      </c>
      <c r="M270" s="6">
        <f t="shared" si="8"/>
        <v>0.65334</v>
      </c>
      <c r="N270" s="6">
        <f t="shared" si="9"/>
        <v>0.0154561889797511</v>
      </c>
    </row>
    <row r="271" spans="1:14">
      <c r="A271" s="5" t="s">
        <v>216</v>
      </c>
      <c r="B271" s="5" t="s">
        <v>286</v>
      </c>
      <c r="C271" s="6">
        <v>0.6811</v>
      </c>
      <c r="D271" s="6">
        <v>0.7291</v>
      </c>
      <c r="E271" s="6">
        <v>0.6858</v>
      </c>
      <c r="F271" s="6">
        <v>0.7314</v>
      </c>
      <c r="G271" s="6">
        <v>0.7045</v>
      </c>
      <c r="H271" s="6">
        <v>0.7288</v>
      </c>
      <c r="I271" s="6">
        <v>0.7383</v>
      </c>
      <c r="J271" s="6">
        <v>0.7172</v>
      </c>
      <c r="K271" s="6">
        <v>0.6705</v>
      </c>
      <c r="L271" s="6">
        <v>0.6862</v>
      </c>
      <c r="M271" s="6">
        <f t="shared" si="8"/>
        <v>0.70729</v>
      </c>
      <c r="N271" s="6">
        <f t="shared" si="9"/>
        <v>0.0247953602290608</v>
      </c>
    </row>
    <row r="272" spans="1:14">
      <c r="A272" s="5" t="s">
        <v>216</v>
      </c>
      <c r="B272" s="5" t="s">
        <v>287</v>
      </c>
      <c r="C272" s="6">
        <v>0.6848</v>
      </c>
      <c r="D272" s="6">
        <v>0.7022</v>
      </c>
      <c r="E272" s="6">
        <v>0.7125</v>
      </c>
      <c r="F272" s="6">
        <v>0.667</v>
      </c>
      <c r="G272" s="6">
        <v>0.6639</v>
      </c>
      <c r="H272" s="6">
        <v>0.6858</v>
      </c>
      <c r="I272" s="6">
        <v>0.7358</v>
      </c>
      <c r="J272" s="6">
        <v>0.7244</v>
      </c>
      <c r="K272" s="6">
        <v>0.7255</v>
      </c>
      <c r="L272" s="6">
        <v>0.7073</v>
      </c>
      <c r="M272" s="6">
        <f t="shared" si="8"/>
        <v>0.70092</v>
      </c>
      <c r="N272" s="6">
        <f t="shared" si="9"/>
        <v>0.0248507902847732</v>
      </c>
    </row>
    <row r="273" spans="1:14">
      <c r="A273" s="5" t="s">
        <v>216</v>
      </c>
      <c r="B273" s="5" t="s">
        <v>288</v>
      </c>
      <c r="C273" s="6">
        <v>0.5063</v>
      </c>
      <c r="D273" s="6">
        <v>0.5225</v>
      </c>
      <c r="E273" s="6">
        <v>0.5183</v>
      </c>
      <c r="F273" s="6">
        <v>0.4958</v>
      </c>
      <c r="G273" s="6">
        <v>0.5222</v>
      </c>
      <c r="H273" s="6">
        <v>0.5227</v>
      </c>
      <c r="I273" s="6">
        <v>0.5027</v>
      </c>
      <c r="J273" s="6">
        <v>0.5426</v>
      </c>
      <c r="K273" s="6">
        <v>0.5354</v>
      </c>
      <c r="L273" s="6">
        <v>0.4867</v>
      </c>
      <c r="M273" s="6">
        <f t="shared" si="8"/>
        <v>0.51552</v>
      </c>
      <c r="N273" s="6">
        <f t="shared" si="9"/>
        <v>0.0174801347566634</v>
      </c>
    </row>
    <row r="274" spans="1:14">
      <c r="A274" s="5" t="s">
        <v>216</v>
      </c>
      <c r="B274" s="5" t="s">
        <v>289</v>
      </c>
      <c r="C274" s="6">
        <v>0.5326</v>
      </c>
      <c r="D274" s="6">
        <v>0.584</v>
      </c>
      <c r="E274" s="6">
        <v>0.551</v>
      </c>
      <c r="F274" s="6">
        <v>0.5536</v>
      </c>
      <c r="G274" s="6">
        <v>0.5465</v>
      </c>
      <c r="H274" s="6">
        <v>0.5162</v>
      </c>
      <c r="I274" s="6">
        <v>0.5264</v>
      </c>
      <c r="J274" s="6">
        <v>0.5279</v>
      </c>
      <c r="K274" s="6">
        <v>0.5412</v>
      </c>
      <c r="L274" s="6">
        <v>0.5602</v>
      </c>
      <c r="M274" s="6">
        <f t="shared" si="8"/>
        <v>0.54396</v>
      </c>
      <c r="N274" s="6">
        <f t="shared" si="9"/>
        <v>0.0196905053261718</v>
      </c>
    </row>
    <row r="275" spans="1:14">
      <c r="A275" s="5" t="s">
        <v>216</v>
      </c>
      <c r="B275" s="5" t="s">
        <v>290</v>
      </c>
      <c r="C275" s="6">
        <v>0.6301</v>
      </c>
      <c r="D275" s="6">
        <v>0.6209</v>
      </c>
      <c r="E275" s="6">
        <v>0.6282</v>
      </c>
      <c r="F275" s="6">
        <v>0.6288</v>
      </c>
      <c r="G275" s="6">
        <v>0.644</v>
      </c>
      <c r="H275" s="6">
        <v>0.6442</v>
      </c>
      <c r="I275" s="6">
        <v>0.6512</v>
      </c>
      <c r="J275" s="6">
        <v>0.6267</v>
      </c>
      <c r="K275" s="6">
        <v>0.6381</v>
      </c>
      <c r="L275" s="6">
        <v>0.6475</v>
      </c>
      <c r="M275" s="6">
        <f t="shared" si="8"/>
        <v>0.63597</v>
      </c>
      <c r="N275" s="6">
        <f t="shared" si="9"/>
        <v>0.0103329085934213</v>
      </c>
    </row>
    <row r="276" spans="1:14">
      <c r="A276" s="5" t="s">
        <v>216</v>
      </c>
      <c r="B276" s="5" t="s">
        <v>291</v>
      </c>
      <c r="C276" s="6">
        <v>0.7511</v>
      </c>
      <c r="D276" s="6">
        <v>0.7515</v>
      </c>
      <c r="E276" s="6">
        <v>0.7593</v>
      </c>
      <c r="F276" s="6">
        <v>0.7504</v>
      </c>
      <c r="G276" s="6">
        <v>0.7517</v>
      </c>
      <c r="H276" s="6">
        <v>0.757</v>
      </c>
      <c r="I276" s="6">
        <v>0.7477</v>
      </c>
      <c r="J276" s="6">
        <v>0.7524</v>
      </c>
      <c r="K276" s="6">
        <v>0.7558</v>
      </c>
      <c r="L276" s="6">
        <v>0.7405</v>
      </c>
      <c r="M276" s="6">
        <f t="shared" si="8"/>
        <v>0.75174</v>
      </c>
      <c r="N276" s="6">
        <f t="shared" si="9"/>
        <v>0.00523518014122828</v>
      </c>
    </row>
    <row r="277" spans="1:14">
      <c r="A277" s="5" t="s">
        <v>216</v>
      </c>
      <c r="B277" s="5" t="s">
        <v>292</v>
      </c>
      <c r="C277" s="6">
        <v>0.6798</v>
      </c>
      <c r="D277" s="6">
        <v>0.6803</v>
      </c>
      <c r="E277" s="6">
        <v>0.6853</v>
      </c>
      <c r="F277" s="6">
        <v>0.6795</v>
      </c>
      <c r="G277" s="6">
        <v>0.6809</v>
      </c>
      <c r="H277" s="6">
        <v>0.6791</v>
      </c>
      <c r="I277" s="6">
        <v>0.6791</v>
      </c>
      <c r="J277" s="6">
        <v>0.6789</v>
      </c>
      <c r="K277" s="6">
        <v>0.6821</v>
      </c>
      <c r="L277" s="6">
        <v>0.6795</v>
      </c>
      <c r="M277" s="6">
        <f t="shared" si="8"/>
        <v>0.68045</v>
      </c>
      <c r="N277" s="6">
        <f t="shared" si="9"/>
        <v>0.00196482965051823</v>
      </c>
    </row>
    <row r="278" spans="1:14">
      <c r="A278" s="5" t="s">
        <v>216</v>
      </c>
      <c r="B278" s="5" t="s">
        <v>293</v>
      </c>
      <c r="C278" s="6">
        <v>0.5201</v>
      </c>
      <c r="D278" s="6">
        <v>0.5257</v>
      </c>
      <c r="E278" s="6">
        <v>0.5354</v>
      </c>
      <c r="F278" s="6">
        <v>0.5608</v>
      </c>
      <c r="G278" s="6">
        <v>0.5539</v>
      </c>
      <c r="H278" s="6">
        <v>0.5262</v>
      </c>
      <c r="I278" s="6">
        <v>0.5364</v>
      </c>
      <c r="J278" s="6">
        <v>0.549</v>
      </c>
      <c r="K278" s="6">
        <v>0.525</v>
      </c>
      <c r="L278" s="6">
        <v>0.5557</v>
      </c>
      <c r="M278" s="6">
        <f t="shared" si="8"/>
        <v>0.53882</v>
      </c>
      <c r="N278" s="6">
        <f t="shared" si="9"/>
        <v>0.0148678474867376</v>
      </c>
    </row>
    <row r="279" spans="1:14">
      <c r="A279" s="5" t="s">
        <v>216</v>
      </c>
      <c r="B279" s="5" t="s">
        <v>294</v>
      </c>
      <c r="C279" s="6">
        <v>0.3383</v>
      </c>
      <c r="D279" s="6">
        <v>0.3922</v>
      </c>
      <c r="E279" s="6">
        <v>0.3428</v>
      </c>
      <c r="F279" s="6">
        <v>0.3455</v>
      </c>
      <c r="G279" s="6">
        <v>0.3487</v>
      </c>
      <c r="H279" s="6">
        <v>0.3568</v>
      </c>
      <c r="I279" s="6">
        <v>0.3825</v>
      </c>
      <c r="J279" s="6">
        <v>0.3658</v>
      </c>
      <c r="K279" s="6">
        <v>0.3724</v>
      </c>
      <c r="L279" s="6">
        <v>0.3737</v>
      </c>
      <c r="M279" s="6">
        <f t="shared" si="8"/>
        <v>0.36187</v>
      </c>
      <c r="N279" s="6">
        <f t="shared" si="9"/>
        <v>0.0182517000730221</v>
      </c>
    </row>
    <row r="280" spans="1:14">
      <c r="A280" s="5" t="s">
        <v>216</v>
      </c>
      <c r="B280" s="5" t="s">
        <v>295</v>
      </c>
      <c r="C280" s="6">
        <v>0.5906</v>
      </c>
      <c r="D280" s="6">
        <v>0.609</v>
      </c>
      <c r="E280" s="6">
        <v>0.6054</v>
      </c>
      <c r="F280" s="6">
        <v>0.6141</v>
      </c>
      <c r="G280" s="6">
        <v>0.6176</v>
      </c>
      <c r="H280" s="6">
        <v>0.6091</v>
      </c>
      <c r="I280" s="6">
        <v>0.616</v>
      </c>
      <c r="J280" s="6">
        <v>0.6136</v>
      </c>
      <c r="K280" s="6">
        <v>0.6124</v>
      </c>
      <c r="L280" s="6">
        <v>0.6073</v>
      </c>
      <c r="M280" s="6">
        <f t="shared" si="8"/>
        <v>0.60951</v>
      </c>
      <c r="N280" s="6">
        <f t="shared" si="9"/>
        <v>0.00769927124978577</v>
      </c>
    </row>
    <row r="281" spans="1:14">
      <c r="A281" s="5" t="s">
        <v>216</v>
      </c>
      <c r="B281" s="5" t="s">
        <v>296</v>
      </c>
      <c r="C281" s="6">
        <v>0.6023</v>
      </c>
      <c r="D281" s="6">
        <v>0.612</v>
      </c>
      <c r="E281" s="6">
        <v>0.6054</v>
      </c>
      <c r="F281" s="6">
        <v>0.6068</v>
      </c>
      <c r="G281" s="6">
        <v>0.6155</v>
      </c>
      <c r="H281" s="6">
        <v>0.5629</v>
      </c>
      <c r="I281" s="6">
        <v>0.6028</v>
      </c>
      <c r="J281" s="6">
        <v>0.6111</v>
      </c>
      <c r="K281" s="6">
        <v>0.606</v>
      </c>
      <c r="L281" s="6">
        <v>0.6081</v>
      </c>
      <c r="M281" s="6">
        <f t="shared" si="8"/>
        <v>0.60329</v>
      </c>
      <c r="N281" s="6">
        <f t="shared" si="9"/>
        <v>0.014778997861079</v>
      </c>
    </row>
    <row r="282" spans="1:14">
      <c r="A282" s="5" t="s">
        <v>216</v>
      </c>
      <c r="B282" s="5" t="s">
        <v>297</v>
      </c>
      <c r="C282" s="6">
        <v>0.6814</v>
      </c>
      <c r="D282" s="6">
        <v>0.6865</v>
      </c>
      <c r="E282" s="6">
        <v>0.6977</v>
      </c>
      <c r="F282" s="6">
        <v>0.6349</v>
      </c>
      <c r="G282" s="6">
        <v>0.6516</v>
      </c>
      <c r="H282" s="6">
        <v>0.6755</v>
      </c>
      <c r="I282" s="6">
        <v>0.6467</v>
      </c>
      <c r="J282" s="6">
        <v>0.6468</v>
      </c>
      <c r="K282" s="6">
        <v>0.6979</v>
      </c>
      <c r="L282" s="6">
        <v>0.6801</v>
      </c>
      <c r="M282" s="6">
        <f t="shared" si="8"/>
        <v>0.66991</v>
      </c>
      <c r="N282" s="6">
        <f t="shared" si="9"/>
        <v>0.0229293334690159</v>
      </c>
    </row>
    <row r="283" spans="1:14">
      <c r="A283" s="5" t="s">
        <v>216</v>
      </c>
      <c r="B283" s="5" t="s">
        <v>298</v>
      </c>
      <c r="C283" s="6">
        <v>0.6744</v>
      </c>
      <c r="D283" s="6">
        <v>0.6583</v>
      </c>
      <c r="E283" s="6">
        <v>0.6548</v>
      </c>
      <c r="F283" s="6">
        <v>0.6764</v>
      </c>
      <c r="G283" s="6">
        <v>0.6429</v>
      </c>
      <c r="H283" s="6">
        <v>0.6414</v>
      </c>
      <c r="I283" s="6">
        <v>0.6569</v>
      </c>
      <c r="J283" s="6">
        <v>0.6891</v>
      </c>
      <c r="K283" s="6">
        <v>0.6625</v>
      </c>
      <c r="L283" s="6">
        <v>0.6623</v>
      </c>
      <c r="M283" s="6">
        <f t="shared" si="8"/>
        <v>0.6619</v>
      </c>
      <c r="N283" s="6">
        <f t="shared" si="9"/>
        <v>0.0148192067563986</v>
      </c>
    </row>
    <row r="284" spans="1:14">
      <c r="A284" s="5" t="s">
        <v>216</v>
      </c>
      <c r="B284" s="5" t="s">
        <v>299</v>
      </c>
      <c r="C284" s="6">
        <v>0.4698</v>
      </c>
      <c r="D284" s="6">
        <v>0.4916</v>
      </c>
      <c r="E284" s="6">
        <v>0.4979</v>
      </c>
      <c r="F284" s="6">
        <v>0.4644</v>
      </c>
      <c r="G284" s="6">
        <v>0.4637</v>
      </c>
      <c r="H284" s="6">
        <v>0.5307</v>
      </c>
      <c r="I284" s="6">
        <v>0.4765</v>
      </c>
      <c r="J284" s="6">
        <v>0.4851</v>
      </c>
      <c r="K284" s="6">
        <v>0.4629</v>
      </c>
      <c r="L284" s="6">
        <v>0.4841</v>
      </c>
      <c r="M284" s="6">
        <f t="shared" si="8"/>
        <v>0.48267</v>
      </c>
      <c r="N284" s="6">
        <f t="shared" si="9"/>
        <v>0.0208559637087866</v>
      </c>
    </row>
    <row r="285" spans="1:14">
      <c r="A285" s="5" t="s">
        <v>216</v>
      </c>
      <c r="B285" s="5" t="s">
        <v>300</v>
      </c>
      <c r="C285" s="6">
        <v>0.6248</v>
      </c>
      <c r="D285" s="6">
        <v>0.6269</v>
      </c>
      <c r="E285" s="6">
        <v>0.674</v>
      </c>
      <c r="F285" s="6">
        <v>0.6262</v>
      </c>
      <c r="G285" s="6">
        <v>0.6269</v>
      </c>
      <c r="H285" s="6">
        <v>0.655</v>
      </c>
      <c r="I285" s="6">
        <v>0.6511</v>
      </c>
      <c r="J285" s="6">
        <v>0.6459</v>
      </c>
      <c r="K285" s="6">
        <v>0.6297</v>
      </c>
      <c r="L285" s="6">
        <v>0.6631</v>
      </c>
      <c r="M285" s="6">
        <f t="shared" si="8"/>
        <v>0.64236</v>
      </c>
      <c r="N285" s="6">
        <f t="shared" si="9"/>
        <v>0.0179125157982407</v>
      </c>
    </row>
    <row r="286" spans="1:14">
      <c r="A286" s="5" t="s">
        <v>216</v>
      </c>
      <c r="B286" s="5" t="s">
        <v>301</v>
      </c>
      <c r="C286" s="6">
        <v>0.6767</v>
      </c>
      <c r="D286" s="6">
        <v>0.721</v>
      </c>
      <c r="E286" s="6">
        <v>0.6665</v>
      </c>
      <c r="F286" s="6">
        <v>0.6687</v>
      </c>
      <c r="G286" s="6">
        <v>0.7304</v>
      </c>
      <c r="H286" s="6">
        <v>0.6618</v>
      </c>
      <c r="I286" s="6">
        <v>0.6558</v>
      </c>
      <c r="J286" s="6">
        <v>0.6531</v>
      </c>
      <c r="K286" s="6">
        <v>0.6627</v>
      </c>
      <c r="L286" s="6">
        <v>0.6563</v>
      </c>
      <c r="M286" s="6">
        <f t="shared" si="8"/>
        <v>0.6753</v>
      </c>
      <c r="N286" s="6">
        <f t="shared" si="9"/>
        <v>0.0275329297791249</v>
      </c>
    </row>
    <row r="287" spans="1:14">
      <c r="A287" s="5" t="s">
        <v>216</v>
      </c>
      <c r="B287" s="5" t="s">
        <v>302</v>
      </c>
      <c r="C287" s="6">
        <v>0.6633</v>
      </c>
      <c r="D287" s="6">
        <v>0.6349</v>
      </c>
      <c r="E287" s="6">
        <v>0.6376</v>
      </c>
      <c r="F287" s="6">
        <v>0.6671</v>
      </c>
      <c r="G287" s="6">
        <v>0.6587</v>
      </c>
      <c r="H287" s="6">
        <v>0.6366</v>
      </c>
      <c r="I287" s="6">
        <v>0.6768</v>
      </c>
      <c r="J287" s="6">
        <v>0.6534</v>
      </c>
      <c r="K287" s="6">
        <v>0.635</v>
      </c>
      <c r="L287" s="6">
        <v>0.6189</v>
      </c>
      <c r="M287" s="6">
        <f t="shared" si="8"/>
        <v>0.64823</v>
      </c>
      <c r="N287" s="6">
        <f t="shared" si="9"/>
        <v>0.0182482906353201</v>
      </c>
    </row>
    <row r="288" spans="1:14">
      <c r="A288" s="5" t="s">
        <v>216</v>
      </c>
      <c r="B288" s="5" t="s">
        <v>303</v>
      </c>
      <c r="C288" s="6">
        <v>0.824</v>
      </c>
      <c r="D288" s="6">
        <v>0.8258</v>
      </c>
      <c r="E288" s="6">
        <v>0.8076</v>
      </c>
      <c r="F288" s="6">
        <v>0.8236</v>
      </c>
      <c r="G288" s="6">
        <v>0.8103</v>
      </c>
      <c r="H288" s="6">
        <v>0.8116</v>
      </c>
      <c r="I288" s="6">
        <v>0.8154</v>
      </c>
      <c r="J288" s="6">
        <v>0.8152</v>
      </c>
      <c r="K288" s="6">
        <v>0.8239</v>
      </c>
      <c r="L288" s="6">
        <v>0.8238</v>
      </c>
      <c r="M288" s="6">
        <f t="shared" si="8"/>
        <v>0.81812</v>
      </c>
      <c r="N288" s="6">
        <f t="shared" si="9"/>
        <v>0.00682736324571124</v>
      </c>
    </row>
    <row r="289" spans="1:14">
      <c r="A289" s="5" t="s">
        <v>216</v>
      </c>
      <c r="B289" s="5" t="s">
        <v>304</v>
      </c>
      <c r="C289" s="6">
        <v>0.5795</v>
      </c>
      <c r="D289" s="6">
        <v>0.5942</v>
      </c>
      <c r="E289" s="6">
        <v>0.5646</v>
      </c>
      <c r="F289" s="6">
        <v>0.5887</v>
      </c>
      <c r="G289" s="6">
        <v>0.608</v>
      </c>
      <c r="H289" s="6">
        <v>0.5818</v>
      </c>
      <c r="I289" s="6">
        <v>0.5736</v>
      </c>
      <c r="J289" s="6">
        <v>0.5848</v>
      </c>
      <c r="K289" s="6">
        <v>0.5817</v>
      </c>
      <c r="L289" s="6">
        <v>0.5944</v>
      </c>
      <c r="M289" s="6">
        <f t="shared" si="8"/>
        <v>0.58513</v>
      </c>
      <c r="N289" s="6">
        <f t="shared" si="9"/>
        <v>0.0120787278579603</v>
      </c>
    </row>
    <row r="290" spans="1:14">
      <c r="A290" s="5" t="s">
        <v>216</v>
      </c>
      <c r="B290" s="5" t="s">
        <v>305</v>
      </c>
      <c r="C290" s="6">
        <v>0.6146</v>
      </c>
      <c r="D290" s="6">
        <v>0.5662</v>
      </c>
      <c r="E290" s="6">
        <v>0.5584</v>
      </c>
      <c r="F290" s="6">
        <v>0.5598</v>
      </c>
      <c r="G290" s="6">
        <v>0.6149</v>
      </c>
      <c r="H290" s="6">
        <v>0.5732</v>
      </c>
      <c r="I290" s="6">
        <v>0.5993</v>
      </c>
      <c r="J290" s="6">
        <v>0.56</v>
      </c>
      <c r="K290" s="6">
        <v>0.5848</v>
      </c>
      <c r="L290" s="6">
        <v>0.5533</v>
      </c>
      <c r="M290" s="6">
        <f t="shared" si="8"/>
        <v>0.57845</v>
      </c>
      <c r="N290" s="6">
        <f t="shared" si="9"/>
        <v>0.0235957741037576</v>
      </c>
    </row>
    <row r="291" spans="1:14">
      <c r="A291" s="5" t="s">
        <v>216</v>
      </c>
      <c r="B291" s="5" t="s">
        <v>306</v>
      </c>
      <c r="C291" s="6">
        <v>0.5759</v>
      </c>
      <c r="D291" s="6">
        <v>0.572</v>
      </c>
      <c r="E291" s="6">
        <v>0.5743</v>
      </c>
      <c r="F291" s="6">
        <v>0.5696</v>
      </c>
      <c r="G291" s="6">
        <v>0.5634</v>
      </c>
      <c r="H291" s="6">
        <v>0.5908</v>
      </c>
      <c r="I291" s="6">
        <v>0.5905</v>
      </c>
      <c r="J291" s="6">
        <v>0.5959</v>
      </c>
      <c r="K291" s="6">
        <v>0.6118</v>
      </c>
      <c r="L291" s="6">
        <v>0.5801</v>
      </c>
      <c r="M291" s="6">
        <f t="shared" si="8"/>
        <v>0.58243</v>
      </c>
      <c r="N291" s="6">
        <f t="shared" si="9"/>
        <v>0.0146398277160476</v>
      </c>
    </row>
    <row r="292" spans="1:14">
      <c r="A292" s="5" t="s">
        <v>216</v>
      </c>
      <c r="B292" s="5" t="s">
        <v>307</v>
      </c>
      <c r="C292" s="6">
        <v>0.5968</v>
      </c>
      <c r="D292" s="6">
        <v>0.6127</v>
      </c>
      <c r="E292" s="6">
        <v>0.643</v>
      </c>
      <c r="F292" s="6">
        <v>0.6318</v>
      </c>
      <c r="G292" s="6">
        <v>0.6204</v>
      </c>
      <c r="H292" s="6">
        <v>0.6379</v>
      </c>
      <c r="I292" s="6">
        <v>0.6633</v>
      </c>
      <c r="J292" s="6">
        <v>0.6218</v>
      </c>
      <c r="K292" s="6">
        <v>0.6139</v>
      </c>
      <c r="L292" s="6">
        <v>0.6377</v>
      </c>
      <c r="M292" s="6">
        <f t="shared" si="8"/>
        <v>0.62793</v>
      </c>
      <c r="N292" s="6">
        <f t="shared" si="9"/>
        <v>0.0187975205220736</v>
      </c>
    </row>
    <row r="293" spans="1:14">
      <c r="A293" s="5" t="s">
        <v>216</v>
      </c>
      <c r="B293" s="5" t="s">
        <v>308</v>
      </c>
      <c r="C293" s="6">
        <v>0.6342</v>
      </c>
      <c r="D293" s="6">
        <v>0.6533</v>
      </c>
      <c r="E293" s="6">
        <v>0.6309</v>
      </c>
      <c r="F293" s="6">
        <v>0.6402</v>
      </c>
      <c r="G293" s="6">
        <v>0.6608</v>
      </c>
      <c r="H293" s="6">
        <v>0.6481</v>
      </c>
      <c r="I293" s="6">
        <v>0.6289</v>
      </c>
      <c r="J293" s="6">
        <v>0.6588</v>
      </c>
      <c r="K293" s="6">
        <v>0.6341</v>
      </c>
      <c r="L293" s="6">
        <v>0.6257</v>
      </c>
      <c r="M293" s="6">
        <f t="shared" si="8"/>
        <v>0.6415</v>
      </c>
      <c r="N293" s="6">
        <f t="shared" si="9"/>
        <v>0.0128455785735361</v>
      </c>
    </row>
    <row r="294" spans="1:14">
      <c r="A294" s="5" t="s">
        <v>216</v>
      </c>
      <c r="B294" s="5" t="s">
        <v>309</v>
      </c>
      <c r="C294" s="6">
        <v>0.6602</v>
      </c>
      <c r="D294" s="6">
        <v>0.6785</v>
      </c>
      <c r="E294" s="6">
        <v>0.6387</v>
      </c>
      <c r="F294" s="6">
        <v>0.6688</v>
      </c>
      <c r="G294" s="6">
        <v>0.6386</v>
      </c>
      <c r="H294" s="6">
        <v>0.6478</v>
      </c>
      <c r="I294" s="6">
        <v>0.6637</v>
      </c>
      <c r="J294" s="6">
        <v>0.6412</v>
      </c>
      <c r="K294" s="6">
        <v>0.6615</v>
      </c>
      <c r="L294" s="6">
        <v>0.6633</v>
      </c>
      <c r="M294" s="6">
        <f t="shared" si="8"/>
        <v>0.65623</v>
      </c>
      <c r="N294" s="6">
        <f t="shared" si="9"/>
        <v>0.0138177060324788</v>
      </c>
    </row>
    <row r="295" spans="1:14">
      <c r="A295" s="5" t="s">
        <v>216</v>
      </c>
      <c r="B295" s="5" t="s">
        <v>310</v>
      </c>
      <c r="C295" s="6">
        <v>0.6538</v>
      </c>
      <c r="D295" s="6">
        <v>0.6205</v>
      </c>
      <c r="E295" s="6">
        <v>0.6529</v>
      </c>
      <c r="F295" s="6">
        <v>0.6529</v>
      </c>
      <c r="G295" s="6">
        <v>0.6427</v>
      </c>
      <c r="H295" s="6">
        <v>0.6553</v>
      </c>
      <c r="I295" s="6">
        <v>0.6419</v>
      </c>
      <c r="J295" s="6">
        <v>0.6505</v>
      </c>
      <c r="K295" s="6">
        <v>0.6518</v>
      </c>
      <c r="L295" s="6">
        <v>0.6401</v>
      </c>
      <c r="M295" s="6">
        <f t="shared" si="8"/>
        <v>0.64624</v>
      </c>
      <c r="N295" s="6">
        <f t="shared" si="9"/>
        <v>0.0105862804295623</v>
      </c>
    </row>
    <row r="296" spans="1:14">
      <c r="A296" s="5" t="s">
        <v>216</v>
      </c>
      <c r="B296" s="5" t="s">
        <v>311</v>
      </c>
      <c r="C296" s="6">
        <v>0.6504</v>
      </c>
      <c r="D296" s="6">
        <v>0.6977</v>
      </c>
      <c r="E296" s="6">
        <v>0.6646</v>
      </c>
      <c r="F296" s="6">
        <v>0.6831</v>
      </c>
      <c r="G296" s="6">
        <v>0.6874</v>
      </c>
      <c r="H296" s="6">
        <v>0.6558</v>
      </c>
      <c r="I296" s="6">
        <v>0.6945</v>
      </c>
      <c r="J296" s="6">
        <v>0.6643</v>
      </c>
      <c r="K296" s="6">
        <v>0.6474</v>
      </c>
      <c r="L296" s="6">
        <v>0.6702</v>
      </c>
      <c r="M296" s="6">
        <f t="shared" si="8"/>
        <v>0.67154</v>
      </c>
      <c r="N296" s="6">
        <f t="shared" si="9"/>
        <v>0.0181855986978708</v>
      </c>
    </row>
    <row r="297" spans="1:14">
      <c r="A297" s="5" t="s">
        <v>216</v>
      </c>
      <c r="B297" s="5" t="s">
        <v>312</v>
      </c>
      <c r="C297" s="6">
        <v>0.6961</v>
      </c>
      <c r="D297" s="6">
        <v>0.719</v>
      </c>
      <c r="E297" s="6">
        <v>0.7764</v>
      </c>
      <c r="F297" s="6">
        <v>0.722</v>
      </c>
      <c r="G297" s="6">
        <v>0.773</v>
      </c>
      <c r="H297" s="6">
        <v>0.7663</v>
      </c>
      <c r="I297" s="6">
        <v>0.7879</v>
      </c>
      <c r="J297" s="6">
        <v>0.7318</v>
      </c>
      <c r="K297" s="6">
        <v>0.7874</v>
      </c>
      <c r="L297" s="6">
        <v>0.7878</v>
      </c>
      <c r="M297" s="6">
        <f t="shared" si="8"/>
        <v>0.75477</v>
      </c>
      <c r="N297" s="6">
        <f t="shared" si="9"/>
        <v>0.0341720824975918</v>
      </c>
    </row>
    <row r="298" spans="1:14">
      <c r="A298" s="5" t="s">
        <v>216</v>
      </c>
      <c r="B298" s="5" t="s">
        <v>313</v>
      </c>
      <c r="C298" s="6">
        <v>0.6886</v>
      </c>
      <c r="D298" s="6">
        <v>0.6303</v>
      </c>
      <c r="E298" s="6">
        <v>0.666</v>
      </c>
      <c r="F298" s="6">
        <v>0.6465</v>
      </c>
      <c r="G298" s="6">
        <v>0.6065</v>
      </c>
      <c r="H298" s="6">
        <v>0.6146</v>
      </c>
      <c r="I298" s="6">
        <v>0.6582</v>
      </c>
      <c r="J298" s="6">
        <v>0.6748</v>
      </c>
      <c r="K298" s="6">
        <v>0.646</v>
      </c>
      <c r="L298" s="6">
        <v>0.6529</v>
      </c>
      <c r="M298" s="6">
        <f t="shared" si="8"/>
        <v>0.64844</v>
      </c>
      <c r="N298" s="6">
        <f t="shared" si="9"/>
        <v>0.0257640231502941</v>
      </c>
    </row>
    <row r="299" spans="1:14">
      <c r="A299" s="5" t="s">
        <v>216</v>
      </c>
      <c r="B299" s="5" t="s">
        <v>314</v>
      </c>
      <c r="C299" s="6">
        <v>0.6502</v>
      </c>
      <c r="D299" s="6">
        <v>0.6336</v>
      </c>
      <c r="E299" s="6">
        <v>0.655</v>
      </c>
      <c r="F299" s="6">
        <v>0.6521</v>
      </c>
      <c r="G299" s="6">
        <v>0.6564</v>
      </c>
      <c r="H299" s="6">
        <v>0.6335</v>
      </c>
      <c r="I299" s="6">
        <v>0.6544</v>
      </c>
      <c r="J299" s="6">
        <v>0.6049</v>
      </c>
      <c r="K299" s="6">
        <v>0.639</v>
      </c>
      <c r="L299" s="6">
        <v>0.6159</v>
      </c>
      <c r="M299" s="6">
        <f t="shared" si="8"/>
        <v>0.6395</v>
      </c>
      <c r="N299" s="6">
        <f t="shared" si="9"/>
        <v>0.0177835754435253</v>
      </c>
    </row>
    <row r="300" spans="1:14">
      <c r="A300" s="5" t="s">
        <v>216</v>
      </c>
      <c r="B300" s="5" t="s">
        <v>315</v>
      </c>
      <c r="C300" s="6">
        <v>0.5622</v>
      </c>
      <c r="D300" s="6">
        <v>0.5496</v>
      </c>
      <c r="E300" s="6">
        <v>0.5719</v>
      </c>
      <c r="F300" s="6">
        <v>0.5616</v>
      </c>
      <c r="G300" s="6">
        <v>0.5763</v>
      </c>
      <c r="H300" s="6">
        <v>0.58</v>
      </c>
      <c r="I300" s="6">
        <v>0.5711</v>
      </c>
      <c r="J300" s="6">
        <v>0.577</v>
      </c>
      <c r="K300" s="6">
        <v>0.5946</v>
      </c>
      <c r="L300" s="6">
        <v>0.5638</v>
      </c>
      <c r="M300" s="6">
        <f t="shared" si="8"/>
        <v>0.57081</v>
      </c>
      <c r="N300" s="6">
        <f t="shared" si="9"/>
        <v>0.0123742968374863</v>
      </c>
    </row>
    <row r="301" spans="1:14">
      <c r="A301" s="5" t="s">
        <v>216</v>
      </c>
      <c r="B301" s="5" t="s">
        <v>316</v>
      </c>
      <c r="C301" s="6">
        <v>0.5722</v>
      </c>
      <c r="D301" s="6">
        <v>0.5786</v>
      </c>
      <c r="E301" s="6">
        <v>0.6125</v>
      </c>
      <c r="F301" s="6">
        <v>0.5906</v>
      </c>
      <c r="G301" s="6">
        <v>0.5716</v>
      </c>
      <c r="H301" s="6">
        <v>0.5928</v>
      </c>
      <c r="I301" s="6">
        <v>0.5995</v>
      </c>
      <c r="J301" s="6">
        <v>0.6284</v>
      </c>
      <c r="K301" s="6">
        <v>0.5971</v>
      </c>
      <c r="L301" s="6">
        <v>0.5779</v>
      </c>
      <c r="M301" s="6">
        <f t="shared" si="8"/>
        <v>0.59212</v>
      </c>
      <c r="N301" s="6">
        <f t="shared" si="9"/>
        <v>0.0183075454996628</v>
      </c>
    </row>
  </sheetData>
  <conditionalFormatting sqref="M2:M301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"/>
  <sheetViews>
    <sheetView workbookViewId="0">
      <selection activeCell="A1" sqref="A1"/>
    </sheetView>
  </sheetViews>
  <sheetFormatPr defaultColWidth="9" defaultRowHeight="14" outlineLevelRow="4"/>
  <cols>
    <col min="1" max="1" width="8.88333333333333" customWidth="1"/>
    <col min="2" max="2" width="7.54166666666667" customWidth="1"/>
    <col min="3" max="11" width="10.7666666666667" customWidth="1"/>
    <col min="12" max="12" width="11.7083333333333" customWidth="1"/>
    <col min="13" max="13" width="21.4" customWidth="1"/>
    <col min="14" max="14" width="8.75" customWidth="1"/>
  </cols>
  <sheetData>
    <row r="1" spans="1:14">
      <c r="A1" s="2" t="s">
        <v>0</v>
      </c>
      <c r="B1" s="2" t="s">
        <v>317</v>
      </c>
      <c r="C1" s="2" t="s">
        <v>318</v>
      </c>
      <c r="D1" s="2" t="s">
        <v>319</v>
      </c>
      <c r="E1" s="2" t="s">
        <v>320</v>
      </c>
      <c r="F1" s="2" t="s">
        <v>321</v>
      </c>
      <c r="G1" s="2" t="s">
        <v>322</v>
      </c>
      <c r="H1" s="2" t="s">
        <v>323</v>
      </c>
      <c r="I1" s="2" t="s">
        <v>324</v>
      </c>
      <c r="J1" s="2" t="s">
        <v>325</v>
      </c>
      <c r="K1" s="2" t="s">
        <v>326</v>
      </c>
      <c r="L1" s="2" t="s">
        <v>327</v>
      </c>
      <c r="M1" s="2" t="s">
        <v>328</v>
      </c>
      <c r="N1" s="2" t="s">
        <v>329</v>
      </c>
    </row>
    <row r="2" spans="1:14">
      <c r="A2" t="s">
        <v>14</v>
      </c>
      <c r="B2">
        <f>COUNTIF(All_10_Runs!$A$2:$A$301,A2)</f>
        <v>100</v>
      </c>
      <c r="C2" s="3">
        <f>AVERAGEIF(All_10_Runs!$A$2:$A$301,A2,All_10_Runs!$C$2:$C$301)</f>
        <v>0.490975</v>
      </c>
      <c r="D2" s="3">
        <f>AVERAGEIF(All_10_Runs!$A$2:$A$301,A2,All_10_Runs!$D$2:$D$301)</f>
        <v>0.489879</v>
      </c>
      <c r="E2" s="3">
        <f>AVERAGEIF(All_10_Runs!$A$2:$A$301,A2,All_10_Runs!$E$2:$E$301)</f>
        <v>0.49068</v>
      </c>
      <c r="F2" s="3">
        <f>AVERAGEIF(All_10_Runs!$A$2:$A$301,A2,All_10_Runs!$F$2:$F$301)</f>
        <v>0.492551</v>
      </c>
      <c r="G2" s="3">
        <f>AVERAGEIF(All_10_Runs!$A$2:$A$301,A2,All_10_Runs!$G$2:$G$301)</f>
        <v>0.486289</v>
      </c>
      <c r="H2" s="3">
        <f>AVERAGEIF(All_10_Runs!$A$2:$A$301,A2,All_10_Runs!$H$2:$H$301)</f>
        <v>0.486269</v>
      </c>
      <c r="I2" s="3">
        <f>AVERAGEIF(All_10_Runs!$A$2:$A$301,A2,All_10_Runs!$I$2:$I$301)</f>
        <v>0.485017</v>
      </c>
      <c r="J2" s="3">
        <f>AVERAGEIF(All_10_Runs!$A$2:$A$301,A2,All_10_Runs!$J$2:$J$301)</f>
        <v>0.488706</v>
      </c>
      <c r="K2" s="3">
        <f>AVERAGEIF(All_10_Runs!$A$2:$A$301,A2,All_10_Runs!$K$2:$K$301)</f>
        <v>0.491037</v>
      </c>
      <c r="L2" s="3">
        <f>AVERAGEIF(All_10_Runs!$A$2:$A$301,A2,All_10_Runs!$L$2:$L$301)</f>
        <v>0.480115</v>
      </c>
      <c r="M2" s="3">
        <f>AVERAGEIF(All_10_Runs!$A$2:$A$301,A2,All_10_Runs!$M$2:$M$301)</f>
        <v>0.4881518</v>
      </c>
      <c r="N2" s="3">
        <f>AVERAGEIF(All_10_Runs!$A$2:$A$301,A2,All_10_Runs!$N$2:$N$301)</f>
        <v>0.0243700147721383</v>
      </c>
    </row>
    <row r="3" spans="1:14">
      <c r="A3" t="s">
        <v>115</v>
      </c>
      <c r="B3">
        <f>COUNTIF(All_10_Runs!$A$2:$A$301,A3)</f>
        <v>100</v>
      </c>
      <c r="C3" s="3">
        <f>AVERAGEIF(All_10_Runs!$A$2:$A$301,A3,All_10_Runs!$C$2:$C$301)</f>
        <v>0.599865</v>
      </c>
      <c r="D3" s="3">
        <f>AVERAGEIF(All_10_Runs!$A$2:$A$301,A3,All_10_Runs!$D$2:$D$301)</f>
        <v>0.596567</v>
      </c>
      <c r="E3" s="3">
        <f>AVERAGEIF(All_10_Runs!$A$2:$A$301,A3,All_10_Runs!$E$2:$E$301)</f>
        <v>0.600359</v>
      </c>
      <c r="F3" s="3">
        <f>AVERAGEIF(All_10_Runs!$A$2:$A$301,A3,All_10_Runs!$F$2:$F$301)</f>
        <v>0.601498</v>
      </c>
      <c r="G3" s="3">
        <f>AVERAGEIF(All_10_Runs!$A$2:$A$301,A3,All_10_Runs!$G$2:$G$301)</f>
        <v>0.598686</v>
      </c>
      <c r="H3" s="3">
        <f>AVERAGEIF(All_10_Runs!$A$2:$A$301,A3,All_10_Runs!$H$2:$H$301)</f>
        <v>0.600467</v>
      </c>
      <c r="I3" s="3">
        <f>AVERAGEIF(All_10_Runs!$A$2:$A$301,A3,All_10_Runs!$I$2:$I$301)</f>
        <v>0.598676</v>
      </c>
      <c r="J3" s="3">
        <f>AVERAGEIF(All_10_Runs!$A$2:$A$301,A3,All_10_Runs!$J$2:$J$301)</f>
        <v>0.601942</v>
      </c>
      <c r="K3" s="3">
        <f>AVERAGEIF(All_10_Runs!$A$2:$A$301,A3,All_10_Runs!$K$2:$K$301)</f>
        <v>0.59719</v>
      </c>
      <c r="L3" s="3">
        <f>AVERAGEIF(All_10_Runs!$A$2:$A$301,A3,All_10_Runs!$L$2:$L$301)</f>
        <v>0.600378</v>
      </c>
      <c r="M3" s="3">
        <f>AVERAGEIF(All_10_Runs!$A$2:$A$301,A3,All_10_Runs!$M$2:$M$301)</f>
        <v>0.5995628</v>
      </c>
      <c r="N3" s="3">
        <f>AVERAGEIF(All_10_Runs!$A$2:$A$301,A3,All_10_Runs!$N$2:$N$301)</f>
        <v>0.019155223772106</v>
      </c>
    </row>
    <row r="4" spans="1:14">
      <c r="A4" t="s">
        <v>216</v>
      </c>
      <c r="B4">
        <f>COUNTIF(All_10_Runs!$A$2:$A$301,A4)</f>
        <v>100</v>
      </c>
      <c r="C4" s="3">
        <f>AVERAGEIF(All_10_Runs!$A$2:$A$301,A4,All_10_Runs!$C$2:$C$301)</f>
        <v>0.62864</v>
      </c>
      <c r="D4" s="3">
        <f>AVERAGEIF(All_10_Runs!$A$2:$A$301,A4,All_10_Runs!$D$2:$D$301)</f>
        <v>0.631817</v>
      </c>
      <c r="E4" s="3">
        <f>AVERAGEIF(All_10_Runs!$A$2:$A$301,A4,All_10_Runs!$E$2:$E$301)</f>
        <v>0.632027</v>
      </c>
      <c r="F4" s="3">
        <f>AVERAGEIF(All_10_Runs!$A$2:$A$301,A4,All_10_Runs!$F$2:$F$301)</f>
        <v>0.631041</v>
      </c>
      <c r="G4" s="3">
        <f>AVERAGEIF(All_10_Runs!$A$2:$A$301,A4,All_10_Runs!$G$2:$G$301)</f>
        <v>0.633076</v>
      </c>
      <c r="H4" s="3">
        <f>AVERAGEIF(All_10_Runs!$A$2:$A$301,A4,All_10_Runs!$H$2:$H$301)</f>
        <v>0.634248</v>
      </c>
      <c r="I4" s="3">
        <f>AVERAGEIF(All_10_Runs!$A$2:$A$301,A4,All_10_Runs!$I$2:$I$301)</f>
        <v>0.631887</v>
      </c>
      <c r="J4" s="3">
        <f>AVERAGEIF(All_10_Runs!$A$2:$A$301,A4,All_10_Runs!$J$2:$J$301)</f>
        <v>0.633098</v>
      </c>
      <c r="K4" s="3">
        <f>AVERAGEIF(All_10_Runs!$A$2:$A$301,A4,All_10_Runs!$K$2:$K$301)</f>
        <v>0.632327</v>
      </c>
      <c r="L4" s="3">
        <f>AVERAGEIF(All_10_Runs!$A$2:$A$301,A4,All_10_Runs!$L$2:$L$301)</f>
        <v>0.632456</v>
      </c>
      <c r="M4" s="3">
        <f>AVERAGEIF(All_10_Runs!$A$2:$A$301,A4,All_10_Runs!$M$2:$M$301)</f>
        <v>0.6320617</v>
      </c>
      <c r="N4" s="3">
        <f>AVERAGEIF(All_10_Runs!$A$2:$A$301,A4,All_10_Runs!$N$2:$N$301)</f>
        <v>0.0140520656221344</v>
      </c>
    </row>
    <row r="5" spans="1:14">
      <c r="A5" t="s">
        <v>330</v>
      </c>
      <c r="B5">
        <f>COUNTA(All_10_Runs!$B$2:$B$301)</f>
        <v>300</v>
      </c>
      <c r="C5" s="3">
        <f>AVERAGE(All_10_Runs!$C$2:$C$301)</f>
        <v>0.57316</v>
      </c>
      <c r="D5" s="3">
        <f>AVERAGE(All_10_Runs!$D$2:$D$301)</f>
        <v>0.572754333333333</v>
      </c>
      <c r="E5" s="3">
        <f>AVERAGE(All_10_Runs!$E$2:$E$301)</f>
        <v>0.574355333333333</v>
      </c>
      <c r="F5" s="3">
        <f>AVERAGE(All_10_Runs!$F$2:$F$301)</f>
        <v>0.57503</v>
      </c>
      <c r="G5" s="3">
        <f>AVERAGE(All_10_Runs!$G$2:$G$301)</f>
        <v>0.572683666666667</v>
      </c>
      <c r="H5" s="3">
        <f>AVERAGE(All_10_Runs!$H$2:$H$301)</f>
        <v>0.573661333333334</v>
      </c>
      <c r="I5" s="3">
        <f>AVERAGE(All_10_Runs!$I$2:$I$301)</f>
        <v>0.57186</v>
      </c>
      <c r="J5" s="3">
        <f>AVERAGE(All_10_Runs!$J$2:$J$301)</f>
        <v>0.574582</v>
      </c>
      <c r="K5" s="3">
        <f>AVERAGE(All_10_Runs!$K$2:$K$301)</f>
        <v>0.573518</v>
      </c>
      <c r="L5" s="3">
        <f>AVERAGE(All_10_Runs!$L$2:$L$301)</f>
        <v>0.570983</v>
      </c>
      <c r="M5" s="3">
        <f>AVERAGE(All_10_Runs!$M$2:$M$301)</f>
        <v>0.573258766666667</v>
      </c>
      <c r="N5" s="3">
        <f>AVERAGE(All_10_Runs!$N$2:$N$301)</f>
        <v>0.0191924347221262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" outlineLevelRow="2" outlineLevelCol="2"/>
  <cols>
    <col min="1" max="1" width="13.3166666666667" customWidth="1"/>
    <col min="2" max="2" width="34.1916666666667" customWidth="1"/>
    <col min="3" max="3" width="68.6416666666667" customWidth="1"/>
  </cols>
  <sheetData>
    <row r="1" spans="1:3">
      <c r="A1" s="1" t="s">
        <v>331</v>
      </c>
      <c r="B1" s="1" t="s">
        <v>332</v>
      </c>
      <c r="C1" s="1" t="s">
        <v>333</v>
      </c>
    </row>
    <row r="2" spans="1:3">
      <c r="A2" t="s">
        <v>334</v>
      </c>
      <c r="B2" t="s">
        <v>335</v>
      </c>
      <c r="C2" t="s">
        <v>336</v>
      </c>
    </row>
    <row r="3" spans="1:3">
      <c r="A3" t="s">
        <v>337</v>
      </c>
      <c r="B3" t="s">
        <v>338</v>
      </c>
      <c r="C3" t="s">
        <v>339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All_10_Runs</vt:lpstr>
      <vt:lpstr>Summary</vt:lpstr>
      <vt:lpstr>Sources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Sophitia</cp:lastModifiedBy>
  <dcterms:created xsi:type="dcterms:W3CDTF">2026-05-24T11:34:39Z</dcterms:created>
  <dcterms:modified xsi:type="dcterms:W3CDTF">2026-05-24T11:34:45Z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592DAE37684941E9A4EFBFB851BA8104_12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